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BRH\PROYECTOS\IA\Sipo_MSPxml\"/>
    </mc:Choice>
  </mc:AlternateContent>
  <xr:revisionPtr revIDLastSave="0" documentId="8_{5A1D23FC-2E19-4B5E-8F05-D82B7E3AF30B}" xr6:coauthVersionLast="47" xr6:coauthVersionMax="47" xr10:uidLastSave="{00000000-0000-0000-0000-000000000000}"/>
  <bookViews>
    <workbookView xWindow="-28920" yWindow="-120" windowWidth="29040" windowHeight="15720" xr2:uid="{34867166-AD5B-41F9-8404-83F03740D8F6}"/>
  </bookViews>
  <sheets>
    <sheet name="PT_cant" sheetId="1" r:id="rId1"/>
  </sheets>
  <externalReferences>
    <externalReference r:id="rId2"/>
    <externalReference r:id="rId3"/>
  </externalReferences>
  <definedNames>
    <definedName name="_xlnm._FilterDatabase" hidden="1">#REF!</definedName>
    <definedName name="a">IF([0]!Values_Entered,Header_Row+[0]!b,Header_Row)</definedName>
    <definedName name="aa">MATCH(0.01,End_Bal,-1)+1</definedName>
    <definedName name="aaaaa">[2]DATOS!#REF!</definedName>
    <definedName name="Area">#REF!</definedName>
    <definedName name="ART">#REF!</definedName>
    <definedName name="asd">#REF!</definedName>
    <definedName name="Ayudante">#REF!</definedName>
    <definedName name="b">MATCH(0.01,End_Bal,-1)+1</definedName>
    <definedName name="Beg_Bal">#REF!</definedName>
    <definedName name="Data">#REF!</definedName>
    <definedName name="Data_di_comp">#REF!</definedName>
    <definedName name="date">#REF!</definedName>
    <definedName name="doc">#REF!</definedName>
    <definedName name="DOLAR">#REF!</definedName>
    <definedName name="dpre">#REF!</definedName>
    <definedName name="e">#REF!</definedName>
    <definedName name="EISat1">#REF!</definedName>
    <definedName name="End_Bal">#REF!</definedName>
    <definedName name="eur">#REF!</definedName>
    <definedName name="Extra_Pay">#REF!</definedName>
    <definedName name="Full_Print">#REF!</definedName>
    <definedName name="GACqq" hidden="1">#REF!</definedName>
    <definedName name="GASOIL">#REF!</definedName>
    <definedName name="GO">#REF!</definedName>
    <definedName name="Header_Row">ROW(#REF!)</definedName>
    <definedName name="Int">#REF!</definedName>
    <definedName name="Interest_Rate">#REF!</definedName>
    <definedName name="IVA">#REF!</definedName>
    <definedName name="IVA.">#REF!</definedName>
    <definedName name="kk">#REF!</definedName>
    <definedName name="Last_Row">IF(#REF!,Header_Row+#REF!,Header_Row)</definedName>
    <definedName name="Loan_Amount">#REF!</definedName>
    <definedName name="Loan_Start">#REF!</definedName>
    <definedName name="Loan_Years">#REF!</definedName>
    <definedName name="material">#REF!</definedName>
    <definedName name="Medio_Oficial">#REF!</definedName>
    <definedName name="MYE">#REF!</definedName>
    <definedName name="Num_Pmt_Per_Year">#REF!</definedName>
    <definedName name="Number_of_Payments">MATCH(0.01,End_Bal,-1)+1</definedName>
    <definedName name="Oficial">#REF!</definedName>
    <definedName name="Oficial_Especializado">#REF!</definedName>
    <definedName name="p">#REF!</definedName>
    <definedName name="Paridad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Project_name">#REF!</definedName>
    <definedName name="Puesto2012">#REF!</definedName>
    <definedName name="rds">#REF!</definedName>
    <definedName name="Red_rendimiento">#REF!</definedName>
    <definedName name="REDONDEO">#REF!</definedName>
    <definedName name="Rendimiento_EQ">#REF!</definedName>
    <definedName name="Rendimiento_MO">#REF!</definedName>
    <definedName name="rentp">#REF!</definedName>
    <definedName name="reptec">#REF!</definedName>
    <definedName name="RUT">#REF!</definedName>
    <definedName name="salid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ource2">#REF!</definedName>
    <definedName name="Source4">#REF!</definedName>
    <definedName name="Sueldos">#REF!</definedName>
    <definedName name="sueldosede">#REF!</definedName>
    <definedName name="TASSE">#REF!</definedName>
    <definedName name="Taxe">#REF!</definedName>
    <definedName name="TITLE">#REF!</definedName>
    <definedName name="Total_Interest">#REF!</definedName>
    <definedName name="Total_Pay">#REF!</definedName>
    <definedName name="Total_Payment">Scheduled_Payment+Extra_Payment</definedName>
    <definedName name="USD">#REF!</definedName>
    <definedName name="Valor">#REF!</definedName>
    <definedName name="valorfiscal">#REF!</definedName>
    <definedName name="Values_Entered">IF(Loan_Amount*Interest_Rate*Loan_Years*Loan_Start&gt;0,1,0)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M1629" i="1" l="1"/>
  <c r="BG1629" i="1"/>
  <c r="E1628" i="1"/>
  <c r="F1628" i="1" s="1"/>
  <c r="DM1627" i="1"/>
  <c r="DM1626" i="1"/>
  <c r="BI1626" i="1"/>
  <c r="BH1626" i="1"/>
  <c r="BG1626" i="1"/>
  <c r="E1625" i="1"/>
  <c r="F1625" i="1" s="1"/>
  <c r="DM1624" i="1"/>
  <c r="DM1623" i="1"/>
  <c r="BJ1623" i="1"/>
  <c r="BH1623" i="1"/>
  <c r="BG1623" i="1"/>
  <c r="E1622" i="1"/>
  <c r="F1622" i="1" s="1"/>
  <c r="DM1621" i="1"/>
  <c r="DM1620" i="1"/>
  <c r="BJ1620" i="1"/>
  <c r="BI1620" i="1"/>
  <c r="E1619" i="1"/>
  <c r="F1619" i="1" s="1"/>
  <c r="DM1618" i="1"/>
  <c r="DM1617" i="1"/>
  <c r="BJ1617" i="1"/>
  <c r="BI1617" i="1"/>
  <c r="E1616" i="1"/>
  <c r="F1616" i="1" s="1"/>
  <c r="DM1615" i="1"/>
  <c r="DM1614" i="1"/>
  <c r="BJ1614" i="1"/>
  <c r="BI1614" i="1"/>
  <c r="BH1614" i="1"/>
  <c r="E1613" i="1"/>
  <c r="F1613" i="1" s="1"/>
  <c r="DM1612" i="1"/>
  <c r="BJ1611" i="1"/>
  <c r="DM1611" i="1" s="1"/>
  <c r="BI1611" i="1"/>
  <c r="BH1611" i="1"/>
  <c r="F1610" i="1"/>
  <c r="E1610" i="1"/>
  <c r="DM1609" i="1"/>
  <c r="BI1608" i="1"/>
  <c r="DM1608" i="1" s="1"/>
  <c r="BH1608" i="1"/>
  <c r="BG1608" i="1"/>
  <c r="F1607" i="1"/>
  <c r="E1607" i="1"/>
  <c r="DM1606" i="1"/>
  <c r="BI1605" i="1"/>
  <c r="DM1605" i="1" s="1"/>
  <c r="BH1605" i="1"/>
  <c r="BG1605" i="1"/>
  <c r="E1604" i="1"/>
  <c r="F1604" i="1" s="1"/>
  <c r="DM1603" i="1"/>
  <c r="DM1601" i="1"/>
  <c r="CN1601" i="1"/>
  <c r="CM1601" i="1"/>
  <c r="CL1601" i="1"/>
  <c r="CK1601" i="1"/>
  <c r="E1600" i="1"/>
  <c r="F1600" i="1" s="1"/>
  <c r="DM1599" i="1"/>
  <c r="DM1598" i="1"/>
  <c r="CN1598" i="1"/>
  <c r="CM1598" i="1"/>
  <c r="CL1598" i="1"/>
  <c r="CK1598" i="1"/>
  <c r="E1597" i="1"/>
  <c r="F1597" i="1" s="1"/>
  <c r="DM1596" i="1"/>
  <c r="CT1595" i="1"/>
  <c r="CS1595" i="1"/>
  <c r="CR1595" i="1"/>
  <c r="CQ1595" i="1"/>
  <c r="CP1595" i="1"/>
  <c r="CO1595" i="1"/>
  <c r="CN1595" i="1"/>
  <c r="DM1595" i="1" s="1"/>
  <c r="E1594" i="1"/>
  <c r="F1594" i="1" s="1"/>
  <c r="DM1593" i="1"/>
  <c r="CQ1592" i="1"/>
  <c r="CP1592" i="1"/>
  <c r="CO1592" i="1"/>
  <c r="CN1592" i="1"/>
  <c r="E1591" i="1"/>
  <c r="F1591" i="1" s="1"/>
  <c r="DM1590" i="1"/>
  <c r="CP1589" i="1"/>
  <c r="DM1589" i="1" s="1"/>
  <c r="CO1589" i="1"/>
  <c r="CN1589" i="1"/>
  <c r="CM1589" i="1"/>
  <c r="F1588" i="1"/>
  <c r="E1588" i="1"/>
  <c r="DM1587" i="1"/>
  <c r="CP1586" i="1"/>
  <c r="DM1586" i="1" s="1"/>
  <c r="CO1586" i="1"/>
  <c r="CN1586" i="1"/>
  <c r="CM1586" i="1"/>
  <c r="E1585" i="1"/>
  <c r="F1585" i="1" s="1"/>
  <c r="DM1584" i="1"/>
  <c r="DM1583" i="1"/>
  <c r="CR1583" i="1"/>
  <c r="CQ1583" i="1"/>
  <c r="CP1583" i="1"/>
  <c r="CO1583" i="1"/>
  <c r="CN1583" i="1"/>
  <c r="CM1583" i="1"/>
  <c r="CL1583" i="1"/>
  <c r="F1582" i="1"/>
  <c r="E1582" i="1"/>
  <c r="DM1581" i="1"/>
  <c r="CO1580" i="1"/>
  <c r="CN1580" i="1"/>
  <c r="CM1580" i="1"/>
  <c r="CL1580" i="1"/>
  <c r="DM1580" i="1" s="1"/>
  <c r="E1579" i="1"/>
  <c r="F1579" i="1" s="1"/>
  <c r="DM1578" i="1"/>
  <c r="CN1577" i="1"/>
  <c r="CM1577" i="1"/>
  <c r="CL1577" i="1"/>
  <c r="CK1577" i="1"/>
  <c r="F1576" i="1"/>
  <c r="E1576" i="1"/>
  <c r="DM1575" i="1"/>
  <c r="CL1574" i="1"/>
  <c r="CK1574" i="1"/>
  <c r="DM1574" i="1" s="1"/>
  <c r="E1573" i="1"/>
  <c r="F1573" i="1" s="1"/>
  <c r="DM1572" i="1"/>
  <c r="BF1570" i="1"/>
  <c r="DM1570" i="1" s="1"/>
  <c r="F1569" i="1"/>
  <c r="E1569" i="1"/>
  <c r="DM1568" i="1"/>
  <c r="BF1567" i="1"/>
  <c r="DM1567" i="1" s="1"/>
  <c r="E1566" i="1"/>
  <c r="F1566" i="1" s="1"/>
  <c r="DM1565" i="1"/>
  <c r="DM1564" i="1"/>
  <c r="BF1564" i="1"/>
  <c r="F1563" i="1"/>
  <c r="E1563" i="1"/>
  <c r="DM1562" i="1"/>
  <c r="BF1561" i="1"/>
  <c r="DM1561" i="1" s="1"/>
  <c r="E1560" i="1"/>
  <c r="F1560" i="1" s="1"/>
  <c r="DM1559" i="1"/>
  <c r="BF1558" i="1"/>
  <c r="DM1558" i="1" s="1"/>
  <c r="F1557" i="1"/>
  <c r="E1557" i="1"/>
  <c r="DM1556" i="1"/>
  <c r="BF1555" i="1"/>
  <c r="DM1555" i="1" s="1"/>
  <c r="F1554" i="1"/>
  <c r="E1554" i="1"/>
  <c r="DM1553" i="1"/>
  <c r="DM1552" i="1"/>
  <c r="BF1552" i="1"/>
  <c r="F1551" i="1"/>
  <c r="E1551" i="1"/>
  <c r="DM1550" i="1"/>
  <c r="DM1549" i="1"/>
  <c r="BF1549" i="1"/>
  <c r="F1548" i="1"/>
  <c r="E1548" i="1"/>
  <c r="DM1547" i="1"/>
  <c r="BK1545" i="1"/>
  <c r="BF1545" i="1"/>
  <c r="F1544" i="1"/>
  <c r="E1544" i="1"/>
  <c r="DM1543" i="1"/>
  <c r="BK1542" i="1"/>
  <c r="BF1542" i="1"/>
  <c r="DM1542" i="1" s="1"/>
  <c r="F1541" i="1"/>
  <c r="E1541" i="1"/>
  <c r="DM1540" i="1"/>
  <c r="BK1539" i="1"/>
  <c r="DM1539" i="1" s="1"/>
  <c r="BF1539" i="1"/>
  <c r="F1538" i="1"/>
  <c r="E1538" i="1"/>
  <c r="DM1537" i="1"/>
  <c r="BK1536" i="1"/>
  <c r="BF1536" i="1"/>
  <c r="DM1536" i="1" s="1"/>
  <c r="E1535" i="1"/>
  <c r="F1535" i="1" s="1"/>
  <c r="DM1534" i="1"/>
  <c r="DM1533" i="1"/>
  <c r="BK1533" i="1"/>
  <c r="BF1533" i="1"/>
  <c r="E1532" i="1"/>
  <c r="F1532" i="1" s="1"/>
  <c r="DM1531" i="1"/>
  <c r="DM1530" i="1"/>
  <c r="BK1530" i="1"/>
  <c r="BF1530" i="1"/>
  <c r="F1529" i="1"/>
  <c r="E1529" i="1"/>
  <c r="DM1528" i="1"/>
  <c r="DM1527" i="1"/>
  <c r="BK1527" i="1"/>
  <c r="BF1527" i="1"/>
  <c r="F1526" i="1"/>
  <c r="E1526" i="1"/>
  <c r="DM1525" i="1"/>
  <c r="DM1524" i="1"/>
  <c r="BK1524" i="1"/>
  <c r="BF1524" i="1"/>
  <c r="F1523" i="1"/>
  <c r="E1523" i="1"/>
  <c r="DM1522" i="1"/>
  <c r="BK1521" i="1"/>
  <c r="BF1521" i="1"/>
  <c r="F1520" i="1"/>
  <c r="E1520" i="1"/>
  <c r="DM1519" i="1"/>
  <c r="BK1518" i="1"/>
  <c r="BF1518" i="1"/>
  <c r="DM1518" i="1" s="1"/>
  <c r="F1517" i="1"/>
  <c r="E1517" i="1"/>
  <c r="DM1516" i="1"/>
  <c r="DM1514" i="1"/>
  <c r="BF1514" i="1"/>
  <c r="E1513" i="1"/>
  <c r="F1513" i="1" s="1"/>
  <c r="DM1512" i="1"/>
  <c r="DM1511" i="1"/>
  <c r="BF1511" i="1"/>
  <c r="F1510" i="1"/>
  <c r="E1510" i="1"/>
  <c r="DM1509" i="1"/>
  <c r="BF1508" i="1"/>
  <c r="DM1508" i="1" s="1"/>
  <c r="E1507" i="1"/>
  <c r="F1507" i="1" s="1"/>
  <c r="DM1506" i="1"/>
  <c r="BF1505" i="1"/>
  <c r="DM1505" i="1" s="1"/>
  <c r="F1504" i="1"/>
  <c r="E1504" i="1"/>
  <c r="DM1503" i="1"/>
  <c r="DM1502" i="1"/>
  <c r="BF1502" i="1"/>
  <c r="E1501" i="1"/>
  <c r="F1501" i="1" s="1"/>
  <c r="DM1500" i="1"/>
  <c r="DM1499" i="1"/>
  <c r="BF1499" i="1"/>
  <c r="F1498" i="1"/>
  <c r="E1498" i="1"/>
  <c r="DM1497" i="1"/>
  <c r="BF1496" i="1"/>
  <c r="DM1496" i="1" s="1"/>
  <c r="E1495" i="1"/>
  <c r="F1495" i="1" s="1"/>
  <c r="DM1494" i="1"/>
  <c r="BF1493" i="1"/>
  <c r="DM1493" i="1" s="1"/>
  <c r="F1492" i="1"/>
  <c r="E1492" i="1"/>
  <c r="DM1491" i="1"/>
  <c r="DM1490" i="1"/>
  <c r="BF1490" i="1"/>
  <c r="E1489" i="1"/>
  <c r="F1489" i="1" s="1"/>
  <c r="DM1488" i="1"/>
  <c r="DM1487" i="1"/>
  <c r="BF1487" i="1"/>
  <c r="F1486" i="1"/>
  <c r="E1486" i="1"/>
  <c r="DM1485" i="1"/>
  <c r="DF1482" i="1"/>
  <c r="DM1482" i="1" s="1"/>
  <c r="DE1482" i="1"/>
  <c r="DD1482" i="1"/>
  <c r="DC1482" i="1"/>
  <c r="DB1482" i="1"/>
  <c r="DA1482" i="1"/>
  <c r="E1481" i="1"/>
  <c r="F1481" i="1" s="1"/>
  <c r="DM1480" i="1"/>
  <c r="DB1479" i="1"/>
  <c r="DM1479" i="1" s="1"/>
  <c r="DA1479" i="1"/>
  <c r="E1478" i="1"/>
  <c r="F1478" i="1" s="1"/>
  <c r="DM1477" i="1"/>
  <c r="DM1476" i="1"/>
  <c r="DB1476" i="1"/>
  <c r="DA1476" i="1"/>
  <c r="BF1476" i="1"/>
  <c r="F1475" i="1"/>
  <c r="E1475" i="1"/>
  <c r="DM1474" i="1"/>
  <c r="DM1473" i="1"/>
  <c r="CZ1473" i="1"/>
  <c r="F1472" i="1"/>
  <c r="E1472" i="1"/>
  <c r="DM1471" i="1"/>
  <c r="DM1470" i="1"/>
  <c r="CY1470" i="1"/>
  <c r="CX1470" i="1"/>
  <c r="CW1470" i="1"/>
  <c r="CV1470" i="1"/>
  <c r="CU1470" i="1"/>
  <c r="E1469" i="1"/>
  <c r="F1469" i="1" s="1"/>
  <c r="DM1468" i="1"/>
  <c r="DM1467" i="1"/>
  <c r="CV1467" i="1"/>
  <c r="F1466" i="1"/>
  <c r="E1466" i="1"/>
  <c r="DM1465" i="1"/>
  <c r="CV1464" i="1"/>
  <c r="DM1464" i="1" s="1"/>
  <c r="BF1464" i="1"/>
  <c r="F1463" i="1"/>
  <c r="E1463" i="1"/>
  <c r="DM1462" i="1"/>
  <c r="BF1461" i="1"/>
  <c r="DM1461" i="1" s="1"/>
  <c r="F1460" i="1"/>
  <c r="E1460" i="1"/>
  <c r="DM1459" i="1"/>
  <c r="DM1458" i="1"/>
  <c r="BF1458" i="1"/>
  <c r="F1457" i="1"/>
  <c r="E1457" i="1"/>
  <c r="DM1456" i="1"/>
  <c r="DM1454" i="1"/>
  <c r="DB1454" i="1"/>
  <c r="E1453" i="1"/>
  <c r="F1453" i="1" s="1"/>
  <c r="DM1452" i="1"/>
  <c r="DH1451" i="1"/>
  <c r="DG1451" i="1"/>
  <c r="DF1451" i="1"/>
  <c r="DE1451" i="1"/>
  <c r="DD1451" i="1"/>
  <c r="DC1451" i="1"/>
  <c r="DM1451" i="1" s="1"/>
  <c r="F1450" i="1"/>
  <c r="E1450" i="1"/>
  <c r="DM1449" i="1"/>
  <c r="CY1447" i="1"/>
  <c r="CX1447" i="1"/>
  <c r="CW1447" i="1"/>
  <c r="DM1447" i="1" s="1"/>
  <c r="F1446" i="1"/>
  <c r="E1446" i="1"/>
  <c r="DM1445" i="1"/>
  <c r="CY1444" i="1"/>
  <c r="CX1444" i="1"/>
  <c r="CW1444" i="1"/>
  <c r="DM1444" i="1" s="1"/>
  <c r="F1443" i="1"/>
  <c r="E1443" i="1"/>
  <c r="DM1442" i="1"/>
  <c r="CY1441" i="1"/>
  <c r="CX1441" i="1"/>
  <c r="CW1441" i="1"/>
  <c r="DM1441" i="1" s="1"/>
  <c r="F1440" i="1"/>
  <c r="E1440" i="1"/>
  <c r="DM1439" i="1"/>
  <c r="DM1438" i="1"/>
  <c r="CX1438" i="1"/>
  <c r="CW1438" i="1"/>
  <c r="F1437" i="1"/>
  <c r="E1437" i="1"/>
  <c r="DM1436" i="1"/>
  <c r="DM1435" i="1"/>
  <c r="CX1435" i="1"/>
  <c r="E1434" i="1"/>
  <c r="F1434" i="1" s="1"/>
  <c r="DM1433" i="1"/>
  <c r="DM1432" i="1"/>
  <c r="CY1432" i="1"/>
  <c r="CX1432" i="1"/>
  <c r="CW1432" i="1"/>
  <c r="E1431" i="1"/>
  <c r="F1431" i="1" s="1"/>
  <c r="DM1430" i="1"/>
  <c r="DM1429" i="1"/>
  <c r="CW1429" i="1"/>
  <c r="F1428" i="1"/>
  <c r="E1428" i="1"/>
  <c r="DM1427" i="1"/>
  <c r="DM1425" i="1"/>
  <c r="DE1425" i="1"/>
  <c r="F1424" i="1"/>
  <c r="E1424" i="1"/>
  <c r="DM1423" i="1"/>
  <c r="DE1422" i="1"/>
  <c r="DD1422" i="1"/>
  <c r="DC1422" i="1"/>
  <c r="DB1422" i="1"/>
  <c r="F1421" i="1"/>
  <c r="E1421" i="1"/>
  <c r="DM1420" i="1"/>
  <c r="DD1419" i="1"/>
  <c r="DM1419" i="1" s="1"/>
  <c r="F1418" i="1"/>
  <c r="E1418" i="1"/>
  <c r="DM1417" i="1"/>
  <c r="DM1416" i="1"/>
  <c r="DD1416" i="1"/>
  <c r="E1415" i="1"/>
  <c r="F1415" i="1" s="1"/>
  <c r="DM1414" i="1"/>
  <c r="DM1413" i="1"/>
  <c r="DC1413" i="1"/>
  <c r="F1412" i="1"/>
  <c r="E1412" i="1"/>
  <c r="DM1411" i="1"/>
  <c r="DC1410" i="1"/>
  <c r="DM1410" i="1" s="1"/>
  <c r="F1409" i="1"/>
  <c r="E1409" i="1"/>
  <c r="DM1408" i="1"/>
  <c r="DC1407" i="1"/>
  <c r="DB1407" i="1"/>
  <c r="DM1407" i="1" s="1"/>
  <c r="F1406" i="1"/>
  <c r="E1406" i="1"/>
  <c r="DM1405" i="1"/>
  <c r="DM1404" i="1"/>
  <c r="DD1404" i="1"/>
  <c r="F1403" i="1"/>
  <c r="E1403" i="1"/>
  <c r="DM1402" i="1"/>
  <c r="DE1401" i="1"/>
  <c r="DD1401" i="1"/>
  <c r="DC1401" i="1"/>
  <c r="DB1401" i="1"/>
  <c r="DM1401" i="1" s="1"/>
  <c r="F1400" i="1"/>
  <c r="E1400" i="1"/>
  <c r="DM1399" i="1"/>
  <c r="DM1398" i="1"/>
  <c r="DE1398" i="1"/>
  <c r="E1397" i="1"/>
  <c r="F1397" i="1" s="1"/>
  <c r="DM1396" i="1"/>
  <c r="DM1395" i="1"/>
  <c r="DD1395" i="1"/>
  <c r="F1394" i="1"/>
  <c r="E1394" i="1"/>
  <c r="DM1393" i="1"/>
  <c r="DD1392" i="1"/>
  <c r="DM1392" i="1" s="1"/>
  <c r="F1391" i="1"/>
  <c r="E1391" i="1"/>
  <c r="DM1390" i="1"/>
  <c r="DD1389" i="1"/>
  <c r="DM1389" i="1" s="1"/>
  <c r="F1388" i="1"/>
  <c r="E1388" i="1"/>
  <c r="DM1387" i="1"/>
  <c r="DM1386" i="1"/>
  <c r="DD1386" i="1"/>
  <c r="F1385" i="1"/>
  <c r="E1385" i="1"/>
  <c r="DM1384" i="1"/>
  <c r="DM1383" i="1"/>
  <c r="DC1383" i="1"/>
  <c r="F1382" i="1"/>
  <c r="E1382" i="1"/>
  <c r="DM1381" i="1"/>
  <c r="DM1380" i="1"/>
  <c r="DC1380" i="1"/>
  <c r="E1379" i="1"/>
  <c r="F1379" i="1" s="1"/>
  <c r="DM1378" i="1"/>
  <c r="CW1377" i="1"/>
  <c r="DM1377" i="1" s="1"/>
  <c r="F1376" i="1"/>
  <c r="E1376" i="1"/>
  <c r="DM1375" i="1"/>
  <c r="DM1373" i="1"/>
  <c r="CW1373" i="1"/>
  <c r="CV1373" i="1"/>
  <c r="F1372" i="1"/>
  <c r="E1372" i="1"/>
  <c r="DM1371" i="1"/>
  <c r="CW1370" i="1"/>
  <c r="DM1370" i="1" s="1"/>
  <c r="E1369" i="1"/>
  <c r="F1369" i="1" s="1"/>
  <c r="DM1368" i="1"/>
  <c r="DM1367" i="1"/>
  <c r="CW1367" i="1"/>
  <c r="F1366" i="1"/>
  <c r="E1366" i="1"/>
  <c r="DM1365" i="1"/>
  <c r="DM1364" i="1"/>
  <c r="CW1364" i="1"/>
  <c r="F1363" i="1"/>
  <c r="E1363" i="1"/>
  <c r="DM1362" i="1"/>
  <c r="CV1361" i="1"/>
  <c r="DM1361" i="1" s="1"/>
  <c r="F1360" i="1"/>
  <c r="E1360" i="1"/>
  <c r="DM1359" i="1"/>
  <c r="DM1358" i="1"/>
  <c r="CV1358" i="1"/>
  <c r="E1357" i="1"/>
  <c r="F1357" i="1" s="1"/>
  <c r="DM1356" i="1"/>
  <c r="DM1355" i="1"/>
  <c r="CV1355" i="1"/>
  <c r="F1354" i="1"/>
  <c r="E1354" i="1"/>
  <c r="DM1353" i="1"/>
  <c r="CV1352" i="1"/>
  <c r="DM1352" i="1" s="1"/>
  <c r="F1351" i="1"/>
  <c r="E1351" i="1"/>
  <c r="DM1350" i="1"/>
  <c r="CV1349" i="1"/>
  <c r="DM1349" i="1" s="1"/>
  <c r="F1348" i="1"/>
  <c r="E1348" i="1"/>
  <c r="DM1347" i="1"/>
  <c r="DM1346" i="1"/>
  <c r="CV1346" i="1"/>
  <c r="E1345" i="1"/>
  <c r="F1345" i="1" s="1"/>
  <c r="DM1344" i="1"/>
  <c r="DM1343" i="1"/>
  <c r="CV1343" i="1"/>
  <c r="F1342" i="1"/>
  <c r="E1342" i="1"/>
  <c r="DM1341" i="1"/>
  <c r="DM1340" i="1"/>
  <c r="CV1340" i="1"/>
  <c r="F1339" i="1"/>
  <c r="E1339" i="1"/>
  <c r="DM1338" i="1"/>
  <c r="CV1337" i="1"/>
  <c r="DM1337" i="1" s="1"/>
  <c r="F1336" i="1"/>
  <c r="E1336" i="1"/>
  <c r="DM1335" i="1"/>
  <c r="DM1334" i="1"/>
  <c r="CV1334" i="1"/>
  <c r="E1333" i="1"/>
  <c r="F1333" i="1" s="1"/>
  <c r="DM1332" i="1"/>
  <c r="DM1331" i="1"/>
  <c r="CV1331" i="1"/>
  <c r="F1330" i="1"/>
  <c r="E1330" i="1"/>
  <c r="DM1329" i="1"/>
  <c r="CV1328" i="1"/>
  <c r="DM1328" i="1" s="1"/>
  <c r="F1327" i="1"/>
  <c r="E1327" i="1"/>
  <c r="DM1326" i="1"/>
  <c r="CV1325" i="1"/>
  <c r="CU1325" i="1"/>
  <c r="DM1325" i="1" s="1"/>
  <c r="F1324" i="1"/>
  <c r="E1324" i="1"/>
  <c r="DM1323" i="1"/>
  <c r="DM1322" i="1"/>
  <c r="CU1322" i="1"/>
  <c r="E1321" i="1"/>
  <c r="F1321" i="1" s="1"/>
  <c r="DM1320" i="1"/>
  <c r="DM1319" i="1"/>
  <c r="CT1319" i="1"/>
  <c r="F1318" i="1"/>
  <c r="E1318" i="1"/>
  <c r="DM1317" i="1"/>
  <c r="CT1316" i="1"/>
  <c r="DM1316" i="1" s="1"/>
  <c r="E1315" i="1"/>
  <c r="F1315" i="1" s="1"/>
  <c r="DM1314" i="1"/>
  <c r="CU1312" i="1"/>
  <c r="CT1312" i="1"/>
  <c r="CR1312" i="1"/>
  <c r="DM1312" i="1" s="1"/>
  <c r="E1311" i="1"/>
  <c r="F1311" i="1" s="1"/>
  <c r="DM1310" i="1"/>
  <c r="CU1309" i="1"/>
  <c r="CT1309" i="1"/>
  <c r="CR1309" i="1"/>
  <c r="F1308" i="1"/>
  <c r="E1308" i="1"/>
  <c r="DM1307" i="1"/>
  <c r="CU1306" i="1"/>
  <c r="DM1306" i="1" s="1"/>
  <c r="F1305" i="1"/>
  <c r="E1305" i="1"/>
  <c r="DM1304" i="1"/>
  <c r="CU1303" i="1"/>
  <c r="DM1303" i="1" s="1"/>
  <c r="E1302" i="1"/>
  <c r="F1302" i="1" s="1"/>
  <c r="DM1301" i="1"/>
  <c r="DM1300" i="1"/>
  <c r="CU1300" i="1"/>
  <c r="F1299" i="1"/>
  <c r="E1299" i="1"/>
  <c r="DM1298" i="1"/>
  <c r="CU1297" i="1"/>
  <c r="DM1297" i="1" s="1"/>
  <c r="CT1297" i="1"/>
  <c r="E1296" i="1"/>
  <c r="F1296" i="1" s="1"/>
  <c r="DM1295" i="1"/>
  <c r="DM1294" i="1"/>
  <c r="CU1294" i="1"/>
  <c r="F1293" i="1"/>
  <c r="E1293" i="1"/>
  <c r="DM1292" i="1"/>
  <c r="CT1291" i="1"/>
  <c r="DM1291" i="1" s="1"/>
  <c r="E1290" i="1"/>
  <c r="F1290" i="1" s="1"/>
  <c r="DM1289" i="1"/>
  <c r="CT1288" i="1"/>
  <c r="DM1288" i="1" s="1"/>
  <c r="E1287" i="1"/>
  <c r="F1287" i="1" s="1"/>
  <c r="DM1286" i="1"/>
  <c r="DM1285" i="1"/>
  <c r="CT1285" i="1"/>
  <c r="F1284" i="1"/>
  <c r="E1284" i="1"/>
  <c r="DM1283" i="1"/>
  <c r="CT1282" i="1"/>
  <c r="DM1282" i="1" s="1"/>
  <c r="F1281" i="1"/>
  <c r="E1281" i="1"/>
  <c r="DM1280" i="1"/>
  <c r="CT1279" i="1"/>
  <c r="DM1279" i="1" s="1"/>
  <c r="E1278" i="1"/>
  <c r="F1278" i="1" s="1"/>
  <c r="DM1277" i="1"/>
  <c r="CT1276" i="1"/>
  <c r="CS1276" i="1"/>
  <c r="DM1276" i="1" s="1"/>
  <c r="F1275" i="1"/>
  <c r="E1275" i="1"/>
  <c r="DM1274" i="1"/>
  <c r="DM1273" i="1"/>
  <c r="CS1273" i="1"/>
  <c r="F1272" i="1"/>
  <c r="E1272" i="1"/>
  <c r="DM1271" i="1"/>
  <c r="DM1270" i="1"/>
  <c r="CR1270" i="1"/>
  <c r="E1269" i="1"/>
  <c r="F1269" i="1" s="1"/>
  <c r="DM1268" i="1"/>
  <c r="CS1267" i="1"/>
  <c r="DM1267" i="1" s="1"/>
  <c r="F1266" i="1"/>
  <c r="E1266" i="1"/>
  <c r="DM1265" i="1"/>
  <c r="DM1264" i="1"/>
  <c r="CS1264" i="1"/>
  <c r="CR1264" i="1"/>
  <c r="E1263" i="1"/>
  <c r="F1263" i="1" s="1"/>
  <c r="DM1262" i="1"/>
  <c r="DM1261" i="1"/>
  <c r="CS1261" i="1"/>
  <c r="CR1261" i="1"/>
  <c r="E1260" i="1"/>
  <c r="F1260" i="1" s="1"/>
  <c r="DM1259" i="1"/>
  <c r="DM1258" i="1"/>
  <c r="CR1258" i="1"/>
  <c r="F1257" i="1"/>
  <c r="E1257" i="1"/>
  <c r="DM1256" i="1"/>
  <c r="CR1255" i="1"/>
  <c r="DM1255" i="1" s="1"/>
  <c r="CQ1255" i="1"/>
  <c r="CP1255" i="1"/>
  <c r="F1254" i="1"/>
  <c r="E1254" i="1"/>
  <c r="DM1253" i="1"/>
  <c r="CP1252" i="1"/>
  <c r="DM1252" i="1" s="1"/>
  <c r="CO1252" i="1"/>
  <c r="F1251" i="1"/>
  <c r="E1251" i="1"/>
  <c r="DM1250" i="1"/>
  <c r="CN1249" i="1"/>
  <c r="DM1249" i="1" s="1"/>
  <c r="F1248" i="1"/>
  <c r="E1248" i="1"/>
  <c r="DM1247" i="1"/>
  <c r="CN1246" i="1"/>
  <c r="DM1246" i="1" s="1"/>
  <c r="E1245" i="1"/>
  <c r="F1245" i="1" s="1"/>
  <c r="DM1244" i="1"/>
  <c r="DM1242" i="1"/>
  <c r="DA1242" i="1"/>
  <c r="CZ1242" i="1"/>
  <c r="CX1242" i="1"/>
  <c r="E1241" i="1"/>
  <c r="F1241" i="1" s="1"/>
  <c r="DM1240" i="1"/>
  <c r="DM1239" i="1"/>
  <c r="DA1239" i="1"/>
  <c r="E1238" i="1"/>
  <c r="F1238" i="1" s="1"/>
  <c r="DM1237" i="1"/>
  <c r="DM1236" i="1"/>
  <c r="CZ1236" i="1"/>
  <c r="F1235" i="1"/>
  <c r="E1235" i="1"/>
  <c r="DM1234" i="1"/>
  <c r="CZ1233" i="1"/>
  <c r="CY1233" i="1"/>
  <c r="DM1233" i="1" s="1"/>
  <c r="F1232" i="1"/>
  <c r="E1232" i="1"/>
  <c r="DM1231" i="1"/>
  <c r="CY1230" i="1"/>
  <c r="DM1230" i="1" s="1"/>
  <c r="F1229" i="1"/>
  <c r="E1229" i="1"/>
  <c r="DM1228" i="1"/>
  <c r="DM1227" i="1"/>
  <c r="CY1227" i="1"/>
  <c r="F1226" i="1"/>
  <c r="E1226" i="1"/>
  <c r="DM1225" i="1"/>
  <c r="DM1224" i="1"/>
  <c r="DA1224" i="1"/>
  <c r="CZ1224" i="1"/>
  <c r="CX1224" i="1"/>
  <c r="E1223" i="1"/>
  <c r="F1223" i="1" s="1"/>
  <c r="DM1222" i="1"/>
  <c r="DM1221" i="1"/>
  <c r="DA1221" i="1"/>
  <c r="E1220" i="1"/>
  <c r="F1220" i="1" s="1"/>
  <c r="DM1219" i="1"/>
  <c r="DA1218" i="1"/>
  <c r="DM1218" i="1" s="1"/>
  <c r="F1217" i="1"/>
  <c r="E1217" i="1"/>
  <c r="DM1216" i="1"/>
  <c r="DA1215" i="1"/>
  <c r="CZ1215" i="1"/>
  <c r="F1214" i="1"/>
  <c r="E1214" i="1"/>
  <c r="DM1213" i="1"/>
  <c r="DM1212" i="1"/>
  <c r="CZ1212" i="1"/>
  <c r="E1211" i="1"/>
  <c r="F1211" i="1" s="1"/>
  <c r="DM1210" i="1"/>
  <c r="CY1209" i="1"/>
  <c r="DM1209" i="1" s="1"/>
  <c r="E1208" i="1"/>
  <c r="F1208" i="1" s="1"/>
  <c r="DM1207" i="1"/>
  <c r="DM1206" i="1"/>
  <c r="CY1206" i="1"/>
  <c r="E1205" i="1"/>
  <c r="F1205" i="1" s="1"/>
  <c r="DM1204" i="1"/>
  <c r="CY1203" i="1"/>
  <c r="DM1203" i="1" s="1"/>
  <c r="F1202" i="1"/>
  <c r="E1202" i="1"/>
  <c r="DM1201" i="1"/>
  <c r="DM1200" i="1"/>
  <c r="CY1200" i="1"/>
  <c r="E1199" i="1"/>
  <c r="F1199" i="1" s="1"/>
  <c r="DM1198" i="1"/>
  <c r="CX1197" i="1"/>
  <c r="DM1197" i="1" s="1"/>
  <c r="E1196" i="1"/>
  <c r="F1196" i="1" s="1"/>
  <c r="DM1195" i="1"/>
  <c r="DM1194" i="1"/>
  <c r="CX1194" i="1"/>
  <c r="E1193" i="1"/>
  <c r="F1193" i="1" s="1"/>
  <c r="DM1192" i="1"/>
  <c r="CX1191" i="1"/>
  <c r="DM1191" i="1" s="1"/>
  <c r="F1190" i="1"/>
  <c r="E1190" i="1"/>
  <c r="DM1189" i="1"/>
  <c r="DM1188" i="1"/>
  <c r="CY1188" i="1"/>
  <c r="E1187" i="1"/>
  <c r="F1187" i="1" s="1"/>
  <c r="DM1186" i="1"/>
  <c r="CY1185" i="1"/>
  <c r="CX1185" i="1"/>
  <c r="DM1185" i="1" s="1"/>
  <c r="F1184" i="1"/>
  <c r="E1184" i="1"/>
  <c r="DM1183" i="1"/>
  <c r="DM1182" i="1"/>
  <c r="CX1182" i="1"/>
  <c r="F1181" i="1"/>
  <c r="E1181" i="1"/>
  <c r="DM1180" i="1"/>
  <c r="DM1179" i="1"/>
  <c r="CX1179" i="1"/>
  <c r="F1178" i="1"/>
  <c r="E1178" i="1"/>
  <c r="DM1177" i="1"/>
  <c r="CX1176" i="1"/>
  <c r="CW1176" i="1"/>
  <c r="DM1176" i="1" s="1"/>
  <c r="F1175" i="1"/>
  <c r="E1175" i="1"/>
  <c r="DM1174" i="1"/>
  <c r="DM1173" i="1"/>
  <c r="CV1173" i="1"/>
  <c r="E1172" i="1"/>
  <c r="F1172" i="1" s="1"/>
  <c r="DM1171" i="1"/>
  <c r="CV1170" i="1"/>
  <c r="DM1170" i="1" s="1"/>
  <c r="E1169" i="1"/>
  <c r="F1169" i="1" s="1"/>
  <c r="DM1168" i="1"/>
  <c r="DM1167" i="1"/>
  <c r="CV1167" i="1"/>
  <c r="F1166" i="1"/>
  <c r="E1166" i="1"/>
  <c r="DM1165" i="1"/>
  <c r="DM1163" i="1"/>
  <c r="CU1163" i="1"/>
  <c r="CT1163" i="1"/>
  <c r="CR1163" i="1"/>
  <c r="F1162" i="1"/>
  <c r="E1162" i="1"/>
  <c r="DM1161" i="1"/>
  <c r="CU1160" i="1"/>
  <c r="DM1160" i="1" s="1"/>
  <c r="CT1160" i="1"/>
  <c r="CR1160" i="1"/>
  <c r="F1159" i="1"/>
  <c r="E1159" i="1"/>
  <c r="DM1158" i="1"/>
  <c r="DM1157" i="1"/>
  <c r="CU1157" i="1"/>
  <c r="F1156" i="1"/>
  <c r="E1156" i="1"/>
  <c r="DM1155" i="1"/>
  <c r="CU1154" i="1"/>
  <c r="DM1154" i="1" s="1"/>
  <c r="E1153" i="1"/>
  <c r="F1153" i="1" s="1"/>
  <c r="DM1152" i="1"/>
  <c r="CU1151" i="1"/>
  <c r="DM1151" i="1" s="1"/>
  <c r="E1150" i="1"/>
  <c r="F1150" i="1" s="1"/>
  <c r="DM1149" i="1"/>
  <c r="DM1148" i="1"/>
  <c r="CU1148" i="1"/>
  <c r="CT1148" i="1"/>
  <c r="E1147" i="1"/>
  <c r="F1147" i="1" s="1"/>
  <c r="DM1146" i="1"/>
  <c r="CT1145" i="1"/>
  <c r="DM1145" i="1" s="1"/>
  <c r="F1144" i="1"/>
  <c r="E1144" i="1"/>
  <c r="DM1143" i="1"/>
  <c r="CT1142" i="1"/>
  <c r="DM1142" i="1" s="1"/>
  <c r="F1141" i="1"/>
  <c r="E1141" i="1"/>
  <c r="DM1140" i="1"/>
  <c r="DM1139" i="1"/>
  <c r="CT1139" i="1"/>
  <c r="E1138" i="1"/>
  <c r="F1138" i="1" s="1"/>
  <c r="DM1137" i="1"/>
  <c r="DM1136" i="1"/>
  <c r="CT1136" i="1"/>
  <c r="F1135" i="1"/>
  <c r="E1135" i="1"/>
  <c r="DM1134" i="1"/>
  <c r="CT1133" i="1"/>
  <c r="DM1133" i="1" s="1"/>
  <c r="E1132" i="1"/>
  <c r="F1132" i="1" s="1"/>
  <c r="DM1131" i="1"/>
  <c r="CS1130" i="1"/>
  <c r="DM1130" i="1" s="1"/>
  <c r="F1129" i="1"/>
  <c r="E1129" i="1"/>
  <c r="DM1128" i="1"/>
  <c r="DM1127" i="1"/>
  <c r="CS1127" i="1"/>
  <c r="F1126" i="1"/>
  <c r="E1126" i="1"/>
  <c r="DM1125" i="1"/>
  <c r="DM1124" i="1"/>
  <c r="CS1124" i="1"/>
  <c r="F1123" i="1"/>
  <c r="E1123" i="1"/>
  <c r="DM1122" i="1"/>
  <c r="DM1121" i="1"/>
  <c r="CS1121" i="1"/>
  <c r="F1120" i="1"/>
  <c r="E1120" i="1"/>
  <c r="DM1119" i="1"/>
  <c r="CS1118" i="1"/>
  <c r="DM1118" i="1" s="1"/>
  <c r="F1117" i="1"/>
  <c r="E1117" i="1"/>
  <c r="DM1116" i="1"/>
  <c r="DM1115" i="1"/>
  <c r="CR1115" i="1"/>
  <c r="E1114" i="1"/>
  <c r="F1114" i="1" s="1"/>
  <c r="DM1113" i="1"/>
  <c r="DM1112" i="1"/>
  <c r="CR1112" i="1"/>
  <c r="F1111" i="1"/>
  <c r="E1111" i="1"/>
  <c r="DM1110" i="1"/>
  <c r="CR1109" i="1"/>
  <c r="DM1109" i="1" s="1"/>
  <c r="CQ1109" i="1"/>
  <c r="CP1109" i="1"/>
  <c r="F1108" i="1"/>
  <c r="E1108" i="1"/>
  <c r="DM1107" i="1"/>
  <c r="CP1106" i="1"/>
  <c r="DM1106" i="1" s="1"/>
  <c r="E1105" i="1"/>
  <c r="F1105" i="1" s="1"/>
  <c r="DM1104" i="1"/>
  <c r="CP1103" i="1"/>
  <c r="DM1103" i="1" s="1"/>
  <c r="F1102" i="1"/>
  <c r="E1102" i="1"/>
  <c r="DM1101" i="1"/>
  <c r="DM1100" i="1"/>
  <c r="CP1100" i="1"/>
  <c r="F1099" i="1"/>
  <c r="E1099" i="1"/>
  <c r="DM1098" i="1"/>
  <c r="DM1096" i="1"/>
  <c r="CX1096" i="1"/>
  <c r="CW1096" i="1"/>
  <c r="E1095" i="1"/>
  <c r="F1095" i="1" s="1"/>
  <c r="DM1094" i="1"/>
  <c r="CT1093" i="1"/>
  <c r="CS1093" i="1"/>
  <c r="CR1093" i="1"/>
  <c r="CQ1093" i="1"/>
  <c r="CP1093" i="1"/>
  <c r="CO1093" i="1"/>
  <c r="CN1093" i="1"/>
  <c r="CM1093" i="1"/>
  <c r="DM1093" i="1" s="1"/>
  <c r="E1092" i="1"/>
  <c r="F1092" i="1" s="1"/>
  <c r="DM1091" i="1"/>
  <c r="CT1090" i="1"/>
  <c r="CS1090" i="1"/>
  <c r="CR1090" i="1"/>
  <c r="CQ1090" i="1"/>
  <c r="CP1090" i="1"/>
  <c r="CO1090" i="1"/>
  <c r="CN1090" i="1"/>
  <c r="CM1090" i="1"/>
  <c r="CL1090" i="1"/>
  <c r="F1089" i="1"/>
  <c r="E1089" i="1"/>
  <c r="DM1088" i="1"/>
  <c r="CT1087" i="1"/>
  <c r="CS1087" i="1"/>
  <c r="CR1087" i="1"/>
  <c r="CQ1087" i="1"/>
  <c r="CP1087" i="1"/>
  <c r="CO1087" i="1"/>
  <c r="CN1087" i="1"/>
  <c r="CM1087" i="1"/>
  <c r="CL1087" i="1"/>
  <c r="DM1087" i="1" s="1"/>
  <c r="F1086" i="1"/>
  <c r="E1086" i="1"/>
  <c r="DM1085" i="1"/>
  <c r="DM1084" i="1"/>
  <c r="BF1084" i="1"/>
  <c r="F1083" i="1"/>
  <c r="E1083" i="1"/>
  <c r="DM1082" i="1"/>
  <c r="DM1081" i="1"/>
  <c r="BF1081" i="1"/>
  <c r="F1080" i="1"/>
  <c r="E1080" i="1"/>
  <c r="DM1079" i="1"/>
  <c r="DM1077" i="1"/>
  <c r="E1076" i="1"/>
  <c r="F1076" i="1" s="1"/>
  <c r="DM1075" i="1"/>
  <c r="DM1074" i="1"/>
  <c r="F1073" i="1"/>
  <c r="E1073" i="1"/>
  <c r="DM1072" i="1"/>
  <c r="DM1071" i="1"/>
  <c r="F1070" i="1"/>
  <c r="E1070" i="1"/>
  <c r="DM1069" i="1"/>
  <c r="DM1068" i="1"/>
  <c r="E1067" i="1"/>
  <c r="F1067" i="1" s="1"/>
  <c r="DM1066" i="1"/>
  <c r="DM1065" i="1"/>
  <c r="F1064" i="1"/>
  <c r="E1064" i="1"/>
  <c r="DM1063" i="1"/>
  <c r="DM1062" i="1"/>
  <c r="F1061" i="1"/>
  <c r="E1061" i="1"/>
  <c r="DM1060" i="1"/>
  <c r="DM1059" i="1"/>
  <c r="E1058" i="1"/>
  <c r="F1058" i="1" s="1"/>
  <c r="DM1057" i="1"/>
  <c r="DM1055" i="1"/>
  <c r="CU1055" i="1"/>
  <c r="F1054" i="1"/>
  <c r="E1054" i="1"/>
  <c r="DM1053" i="1"/>
  <c r="CU1052" i="1"/>
  <c r="DM1052" i="1" s="1"/>
  <c r="F1051" i="1"/>
  <c r="E1051" i="1"/>
  <c r="DM1050" i="1"/>
  <c r="DM1049" i="1"/>
  <c r="CN1049" i="1"/>
  <c r="F1048" i="1"/>
  <c r="E1048" i="1"/>
  <c r="DM1047" i="1"/>
  <c r="CN1046" i="1"/>
  <c r="DM1046" i="1" s="1"/>
  <c r="E1045" i="1"/>
  <c r="F1045" i="1" s="1"/>
  <c r="DM1044" i="1"/>
  <c r="DM1043" i="1"/>
  <c r="CM1043" i="1"/>
  <c r="F1042" i="1"/>
  <c r="E1042" i="1"/>
  <c r="DM1041" i="1"/>
  <c r="CM1040" i="1"/>
  <c r="DM1040" i="1" s="1"/>
  <c r="F1039" i="1"/>
  <c r="E1039" i="1"/>
  <c r="DM1038" i="1"/>
  <c r="DM1037" i="1"/>
  <c r="CM1037" i="1"/>
  <c r="E1036" i="1"/>
  <c r="F1036" i="1" s="1"/>
  <c r="DM1035" i="1"/>
  <c r="CT1033" i="1"/>
  <c r="DM1033" i="1" s="1"/>
  <c r="E1032" i="1"/>
  <c r="F1032" i="1" s="1"/>
  <c r="DM1031" i="1"/>
  <c r="DM1030" i="1"/>
  <c r="CU1030" i="1"/>
  <c r="F1029" i="1"/>
  <c r="E1029" i="1"/>
  <c r="DM1028" i="1"/>
  <c r="CU1027" i="1"/>
  <c r="DM1027" i="1" s="1"/>
  <c r="F1026" i="1"/>
  <c r="E1026" i="1"/>
  <c r="DM1025" i="1"/>
  <c r="DM1024" i="1"/>
  <c r="CU1024" i="1"/>
  <c r="F1023" i="1"/>
  <c r="E1023" i="1"/>
  <c r="DM1022" i="1"/>
  <c r="CU1021" i="1"/>
  <c r="CN1021" i="1"/>
  <c r="DM1021" i="1" s="1"/>
  <c r="E1020" i="1"/>
  <c r="F1020" i="1" s="1"/>
  <c r="DM1019" i="1"/>
  <c r="DM1018" i="1"/>
  <c r="CU1018" i="1"/>
  <c r="F1017" i="1"/>
  <c r="E1017" i="1"/>
  <c r="DM1016" i="1"/>
  <c r="CU1015" i="1"/>
  <c r="CM1015" i="1"/>
  <c r="DM1015" i="1" s="1"/>
  <c r="F1014" i="1"/>
  <c r="E1014" i="1"/>
  <c r="DM1013" i="1"/>
  <c r="CU1012" i="1"/>
  <c r="CT1012" i="1"/>
  <c r="DM1012" i="1" s="1"/>
  <c r="F1011" i="1"/>
  <c r="E1011" i="1"/>
  <c r="DM1010" i="1"/>
  <c r="CU1009" i="1"/>
  <c r="DM1009" i="1" s="1"/>
  <c r="E1008" i="1"/>
  <c r="F1008" i="1" s="1"/>
  <c r="DM1007" i="1"/>
  <c r="CV1005" i="1"/>
  <c r="DM1005" i="1" s="1"/>
  <c r="CU1005" i="1"/>
  <c r="F1004" i="1"/>
  <c r="E1004" i="1"/>
  <c r="DM1003" i="1"/>
  <c r="DM1002" i="1"/>
  <c r="CX1002" i="1"/>
  <c r="E1001" i="1"/>
  <c r="F1001" i="1" s="1"/>
  <c r="DM1000" i="1"/>
  <c r="CW999" i="1"/>
  <c r="DM999" i="1" s="1"/>
  <c r="F998" i="1"/>
  <c r="E998" i="1"/>
  <c r="DM997" i="1"/>
  <c r="CX996" i="1"/>
  <c r="DM996" i="1" s="1"/>
  <c r="CW996" i="1"/>
  <c r="F995" i="1"/>
  <c r="E995" i="1"/>
  <c r="DM994" i="1"/>
  <c r="CW993" i="1"/>
  <c r="DM993" i="1" s="1"/>
  <c r="E992" i="1"/>
  <c r="F992" i="1" s="1"/>
  <c r="DM991" i="1"/>
  <c r="CV990" i="1"/>
  <c r="DM990" i="1" s="1"/>
  <c r="E989" i="1"/>
  <c r="F989" i="1" s="1"/>
  <c r="DM988" i="1"/>
  <c r="DM987" i="1"/>
  <c r="CW987" i="1"/>
  <c r="E986" i="1"/>
  <c r="F986" i="1" s="1"/>
  <c r="DM985" i="1"/>
  <c r="DM984" i="1"/>
  <c r="CV984" i="1"/>
  <c r="F983" i="1"/>
  <c r="E983" i="1"/>
  <c r="DM982" i="1"/>
  <c r="CV981" i="1"/>
  <c r="DM981" i="1" s="1"/>
  <c r="F980" i="1"/>
  <c r="E980" i="1"/>
  <c r="DM979" i="1"/>
  <c r="CV978" i="1"/>
  <c r="DM978" i="1" s="1"/>
  <c r="F977" i="1"/>
  <c r="E977" i="1"/>
  <c r="DM976" i="1"/>
  <c r="DM975" i="1"/>
  <c r="CV975" i="1"/>
  <c r="F974" i="1"/>
  <c r="E974" i="1"/>
  <c r="DM973" i="1"/>
  <c r="DM972" i="1"/>
  <c r="CU972" i="1"/>
  <c r="E971" i="1"/>
  <c r="F971" i="1" s="1"/>
  <c r="DM970" i="1"/>
  <c r="CV969" i="1"/>
  <c r="DM969" i="1" s="1"/>
  <c r="E968" i="1"/>
  <c r="F968" i="1" s="1"/>
  <c r="DM967" i="1"/>
  <c r="CV966" i="1"/>
  <c r="DM966" i="1" s="1"/>
  <c r="E965" i="1"/>
  <c r="F965" i="1" s="1"/>
  <c r="DM964" i="1"/>
  <c r="DM963" i="1"/>
  <c r="CV963" i="1"/>
  <c r="F962" i="1"/>
  <c r="E962" i="1"/>
  <c r="DM961" i="1"/>
  <c r="CU960" i="1"/>
  <c r="DM960" i="1" s="1"/>
  <c r="F959" i="1"/>
  <c r="E959" i="1"/>
  <c r="DM958" i="1"/>
  <c r="CU957" i="1"/>
  <c r="DM957" i="1" s="1"/>
  <c r="E956" i="1"/>
  <c r="F956" i="1" s="1"/>
  <c r="DM955" i="1"/>
  <c r="CU954" i="1"/>
  <c r="DM954" i="1" s="1"/>
  <c r="F953" i="1"/>
  <c r="E953" i="1"/>
  <c r="DM952" i="1"/>
  <c r="DM951" i="1"/>
  <c r="CU951" i="1"/>
  <c r="CT951" i="1"/>
  <c r="E950" i="1"/>
  <c r="F950" i="1" s="1"/>
  <c r="DM949" i="1"/>
  <c r="DM948" i="1"/>
  <c r="CT948" i="1"/>
  <c r="E947" i="1"/>
  <c r="F947" i="1" s="1"/>
  <c r="DM946" i="1"/>
  <c r="CT945" i="1"/>
  <c r="DM945" i="1" s="1"/>
  <c r="F944" i="1"/>
  <c r="E944" i="1"/>
  <c r="DM943" i="1"/>
  <c r="DB941" i="1"/>
  <c r="DM941" i="1" s="1"/>
  <c r="E940" i="1"/>
  <c r="F940" i="1" s="1"/>
  <c r="DM939" i="1"/>
  <c r="CU938" i="1"/>
  <c r="CT938" i="1"/>
  <c r="DM938" i="1" s="1"/>
  <c r="E937" i="1"/>
  <c r="F937" i="1" s="1"/>
  <c r="DM936" i="1"/>
  <c r="DM935" i="1"/>
  <c r="CS935" i="1"/>
  <c r="CR935" i="1"/>
  <c r="E934" i="1"/>
  <c r="F934" i="1" s="1"/>
  <c r="DM933" i="1"/>
  <c r="CS932" i="1"/>
  <c r="DM932" i="1" s="1"/>
  <c r="CR932" i="1"/>
  <c r="E931" i="1"/>
  <c r="F931" i="1" s="1"/>
  <c r="DM930" i="1"/>
  <c r="CS929" i="1"/>
  <c r="CR929" i="1"/>
  <c r="DM929" i="1" s="1"/>
  <c r="F928" i="1"/>
  <c r="E928" i="1"/>
  <c r="DM927" i="1"/>
  <c r="DB926" i="1"/>
  <c r="CY926" i="1"/>
  <c r="CV926" i="1"/>
  <c r="DM926" i="1" s="1"/>
  <c r="CS926" i="1"/>
  <c r="E925" i="1"/>
  <c r="F925" i="1" s="1"/>
  <c r="DM924" i="1"/>
  <c r="DM923" i="1"/>
  <c r="CR923" i="1"/>
  <c r="CQ923" i="1"/>
  <c r="CP923" i="1"/>
  <c r="CO923" i="1"/>
  <c r="CN923" i="1"/>
  <c r="CM923" i="1"/>
  <c r="CL923" i="1"/>
  <c r="E922" i="1"/>
  <c r="F922" i="1" s="1"/>
  <c r="DM921" i="1"/>
  <c r="CT920" i="1"/>
  <c r="CS920" i="1"/>
  <c r="CR920" i="1"/>
  <c r="BF920" i="1"/>
  <c r="DM920" i="1" s="1"/>
  <c r="F919" i="1"/>
  <c r="E919" i="1"/>
  <c r="DM918" i="1"/>
  <c r="DB917" i="1"/>
  <c r="DA917" i="1"/>
  <c r="CZ917" i="1"/>
  <c r="CY917" i="1"/>
  <c r="CX917" i="1"/>
  <c r="CW917" i="1"/>
  <c r="CV917" i="1"/>
  <c r="CU917" i="1"/>
  <c r="CT917" i="1"/>
  <c r="CS917" i="1"/>
  <c r="CR917" i="1"/>
  <c r="BJ917" i="1"/>
  <c r="BI917" i="1"/>
  <c r="BH917" i="1"/>
  <c r="BG917" i="1"/>
  <c r="BF917" i="1"/>
  <c r="E916" i="1"/>
  <c r="F916" i="1" s="1"/>
  <c r="DM915" i="1"/>
  <c r="DM914" i="1"/>
  <c r="BF914" i="1"/>
  <c r="E913" i="1"/>
  <c r="F913" i="1" s="1"/>
  <c r="DM912" i="1"/>
  <c r="DM911" i="1"/>
  <c r="BF911" i="1"/>
  <c r="E910" i="1"/>
  <c r="F910" i="1" s="1"/>
  <c r="DM909" i="1"/>
  <c r="CU907" i="1"/>
  <c r="DM907" i="1" s="1"/>
  <c r="E906" i="1"/>
  <c r="F906" i="1" s="1"/>
  <c r="DM905" i="1"/>
  <c r="DM904" i="1"/>
  <c r="E903" i="1"/>
  <c r="F903" i="1" s="1"/>
  <c r="DM902" i="1"/>
  <c r="DM901" i="1"/>
  <c r="CU901" i="1"/>
  <c r="F900" i="1"/>
  <c r="E900" i="1"/>
  <c r="DM899" i="1"/>
  <c r="CU898" i="1"/>
  <c r="CT898" i="1"/>
  <c r="CS898" i="1"/>
  <c r="DM898" i="1" s="1"/>
  <c r="F897" i="1"/>
  <c r="E897" i="1"/>
  <c r="DM896" i="1"/>
  <c r="CU895" i="1"/>
  <c r="DM895" i="1" s="1"/>
  <c r="F894" i="1"/>
  <c r="E894" i="1"/>
  <c r="DM893" i="1"/>
  <c r="CT892" i="1"/>
  <c r="CS892" i="1"/>
  <c r="CR892" i="1"/>
  <c r="CQ892" i="1"/>
  <c r="E891" i="1"/>
  <c r="F891" i="1" s="1"/>
  <c r="DM890" i="1"/>
  <c r="CR889" i="1"/>
  <c r="CQ889" i="1"/>
  <c r="DM889" i="1" s="1"/>
  <c r="F888" i="1"/>
  <c r="E888" i="1"/>
  <c r="DM887" i="1"/>
  <c r="CR886" i="1"/>
  <c r="CQ886" i="1"/>
  <c r="DM886" i="1" s="1"/>
  <c r="E885" i="1"/>
  <c r="F885" i="1" s="1"/>
  <c r="DM884" i="1"/>
  <c r="CY882" i="1"/>
  <c r="CX882" i="1"/>
  <c r="CW882" i="1"/>
  <c r="CV882" i="1"/>
  <c r="CU882" i="1"/>
  <c r="CT882" i="1"/>
  <c r="CS882" i="1"/>
  <c r="E881" i="1"/>
  <c r="F881" i="1" s="1"/>
  <c r="DM880" i="1"/>
  <c r="CY879" i="1"/>
  <c r="CX879" i="1"/>
  <c r="CW879" i="1"/>
  <c r="CV879" i="1"/>
  <c r="CU879" i="1"/>
  <c r="CT879" i="1"/>
  <c r="CS879" i="1"/>
  <c r="DM879" i="1" s="1"/>
  <c r="E878" i="1"/>
  <c r="F878" i="1" s="1"/>
  <c r="DM877" i="1"/>
  <c r="CU876" i="1"/>
  <c r="CT876" i="1"/>
  <c r="CS876" i="1"/>
  <c r="DM876" i="1" s="1"/>
  <c r="E875" i="1"/>
  <c r="F875" i="1" s="1"/>
  <c r="DM874" i="1"/>
  <c r="CX873" i="1"/>
  <c r="CW873" i="1"/>
  <c r="CV873" i="1"/>
  <c r="CU873" i="1"/>
  <c r="CT873" i="1"/>
  <c r="CS873" i="1"/>
  <c r="CR873" i="1"/>
  <c r="E872" i="1"/>
  <c r="F872" i="1" s="1"/>
  <c r="DM871" i="1"/>
  <c r="CV870" i="1"/>
  <c r="CU870" i="1"/>
  <c r="CT870" i="1"/>
  <c r="CS870" i="1"/>
  <c r="CR870" i="1"/>
  <c r="CQ870" i="1"/>
  <c r="E869" i="1"/>
  <c r="F869" i="1" s="1"/>
  <c r="DM868" i="1"/>
  <c r="CZ867" i="1"/>
  <c r="CY867" i="1"/>
  <c r="CX867" i="1"/>
  <c r="CW867" i="1"/>
  <c r="CV867" i="1"/>
  <c r="CU867" i="1"/>
  <c r="CT867" i="1"/>
  <c r="CS867" i="1"/>
  <c r="CR867" i="1"/>
  <c r="DM867" i="1" s="1"/>
  <c r="CQ867" i="1"/>
  <c r="E866" i="1"/>
  <c r="F866" i="1" s="1"/>
  <c r="DM865" i="1"/>
  <c r="DM864" i="1"/>
  <c r="CV864" i="1"/>
  <c r="CU864" i="1"/>
  <c r="CT864" i="1"/>
  <c r="CS864" i="1"/>
  <c r="CR864" i="1"/>
  <c r="E863" i="1"/>
  <c r="F863" i="1" s="1"/>
  <c r="DM862" i="1"/>
  <c r="CS861" i="1"/>
  <c r="CR861" i="1"/>
  <c r="CQ861" i="1"/>
  <c r="DM861" i="1" s="1"/>
  <c r="F860" i="1"/>
  <c r="E860" i="1"/>
  <c r="DM859" i="1"/>
  <c r="DM858" i="1"/>
  <c r="CR858" i="1"/>
  <c r="CQ858" i="1"/>
  <c r="E857" i="1"/>
  <c r="F857" i="1" s="1"/>
  <c r="DM856" i="1"/>
  <c r="DM855" i="1"/>
  <c r="CR855" i="1"/>
  <c r="CQ855" i="1"/>
  <c r="F854" i="1"/>
  <c r="E854" i="1"/>
  <c r="DM853" i="1"/>
  <c r="DM852" i="1"/>
  <c r="CS852" i="1"/>
  <c r="CR852" i="1"/>
  <c r="CQ852" i="1"/>
  <c r="E851" i="1"/>
  <c r="F851" i="1" s="1"/>
  <c r="DM850" i="1"/>
  <c r="CX849" i="1"/>
  <c r="CW849" i="1"/>
  <c r="CV849" i="1"/>
  <c r="CU849" i="1"/>
  <c r="CT849" i="1"/>
  <c r="CS849" i="1"/>
  <c r="CR849" i="1"/>
  <c r="CQ849" i="1"/>
  <c r="CP849" i="1"/>
  <c r="CO849" i="1"/>
  <c r="CN849" i="1"/>
  <c r="CM849" i="1"/>
  <c r="CL849" i="1"/>
  <c r="CJ849" i="1"/>
  <c r="CI849" i="1"/>
  <c r="CH849" i="1"/>
  <c r="DM849" i="1" s="1"/>
  <c r="CG849" i="1"/>
  <c r="CF849" i="1"/>
  <c r="E848" i="1"/>
  <c r="F848" i="1" s="1"/>
  <c r="DM847" i="1"/>
  <c r="CX846" i="1"/>
  <c r="CW846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BI846" i="1"/>
  <c r="BH846" i="1"/>
  <c r="BG846" i="1"/>
  <c r="BF846" i="1"/>
  <c r="E845" i="1"/>
  <c r="F845" i="1" s="1"/>
  <c r="DM844" i="1"/>
  <c r="BF843" i="1"/>
  <c r="DM843" i="1" s="1"/>
  <c r="F842" i="1"/>
  <c r="E842" i="1"/>
  <c r="DM841" i="1"/>
  <c r="DM840" i="1"/>
  <c r="BF840" i="1"/>
  <c r="F839" i="1"/>
  <c r="E839" i="1"/>
  <c r="DM838" i="1"/>
  <c r="DM836" i="1"/>
  <c r="CQ836" i="1"/>
  <c r="F835" i="1"/>
  <c r="E835" i="1"/>
  <c r="DM834" i="1"/>
  <c r="CQ833" i="1"/>
  <c r="CP833" i="1"/>
  <c r="CO833" i="1"/>
  <c r="CN833" i="1"/>
  <c r="F832" i="1"/>
  <c r="E832" i="1"/>
  <c r="DM831" i="1"/>
  <c r="CP830" i="1"/>
  <c r="CO830" i="1"/>
  <c r="CN830" i="1"/>
  <c r="DM830" i="1" s="1"/>
  <c r="CM830" i="1"/>
  <c r="E829" i="1"/>
  <c r="F829" i="1" s="1"/>
  <c r="DM828" i="1"/>
  <c r="DM827" i="1"/>
  <c r="CL827" i="1"/>
  <c r="F826" i="1"/>
  <c r="E826" i="1"/>
  <c r="DM825" i="1"/>
  <c r="CL824" i="1"/>
  <c r="BF824" i="1"/>
  <c r="DM824" i="1" s="1"/>
  <c r="F823" i="1"/>
  <c r="E823" i="1"/>
  <c r="DM822" i="1"/>
  <c r="CL821" i="1"/>
  <c r="DM821" i="1" s="1"/>
  <c r="E820" i="1"/>
  <c r="F820" i="1" s="1"/>
  <c r="DM819" i="1"/>
  <c r="DM817" i="1"/>
  <c r="BF817" i="1"/>
  <c r="E816" i="1"/>
  <c r="F816" i="1" s="1"/>
  <c r="DM815" i="1"/>
  <c r="BF814" i="1"/>
  <c r="DM814" i="1" s="1"/>
  <c r="E813" i="1"/>
  <c r="F813" i="1" s="1"/>
  <c r="DM812" i="1"/>
  <c r="DM810" i="1"/>
  <c r="CU810" i="1"/>
  <c r="F809" i="1"/>
  <c r="E809" i="1"/>
  <c r="DM808" i="1"/>
  <c r="CT807" i="1"/>
  <c r="CS807" i="1"/>
  <c r="CR807" i="1"/>
  <c r="CQ807" i="1"/>
  <c r="E806" i="1"/>
  <c r="F806" i="1" s="1"/>
  <c r="DM805" i="1"/>
  <c r="CU804" i="1"/>
  <c r="DM804" i="1" s="1"/>
  <c r="E803" i="1"/>
  <c r="F803" i="1" s="1"/>
  <c r="DM802" i="1"/>
  <c r="CW801" i="1"/>
  <c r="CU801" i="1"/>
  <c r="DM801" i="1" s="1"/>
  <c r="E800" i="1"/>
  <c r="F800" i="1" s="1"/>
  <c r="DM799" i="1"/>
  <c r="CU798" i="1"/>
  <c r="DM798" i="1" s="1"/>
  <c r="E797" i="1"/>
  <c r="F797" i="1" s="1"/>
  <c r="DM796" i="1"/>
  <c r="DM795" i="1"/>
  <c r="CW795" i="1"/>
  <c r="E794" i="1"/>
  <c r="F794" i="1" s="1"/>
  <c r="DM793" i="1"/>
  <c r="DM792" i="1"/>
  <c r="CT792" i="1"/>
  <c r="F791" i="1"/>
  <c r="E791" i="1"/>
  <c r="DM790" i="1"/>
  <c r="CV789" i="1"/>
  <c r="DM789" i="1" s="1"/>
  <c r="E788" i="1"/>
  <c r="F788" i="1" s="1"/>
  <c r="DM787" i="1"/>
  <c r="CT786" i="1"/>
  <c r="DM786" i="1" s="1"/>
  <c r="E785" i="1"/>
  <c r="F785" i="1" s="1"/>
  <c r="DM784" i="1"/>
  <c r="CT783" i="1"/>
  <c r="DM783" i="1" s="1"/>
  <c r="F782" i="1"/>
  <c r="E782" i="1"/>
  <c r="DM781" i="1"/>
  <c r="CU780" i="1"/>
  <c r="DM780" i="1" s="1"/>
  <c r="F779" i="1"/>
  <c r="E779" i="1"/>
  <c r="DM778" i="1"/>
  <c r="CU777" i="1"/>
  <c r="DM777" i="1" s="1"/>
  <c r="E776" i="1"/>
  <c r="F776" i="1" s="1"/>
  <c r="DM775" i="1"/>
  <c r="CU774" i="1"/>
  <c r="CT774" i="1"/>
  <c r="CS774" i="1"/>
  <c r="CR774" i="1"/>
  <c r="DM774" i="1" s="1"/>
  <c r="E773" i="1"/>
  <c r="F773" i="1" s="1"/>
  <c r="DM772" i="1"/>
  <c r="DM771" i="1"/>
  <c r="CT771" i="1"/>
  <c r="F770" i="1"/>
  <c r="E770" i="1"/>
  <c r="DM769" i="1"/>
  <c r="DM768" i="1"/>
  <c r="CT768" i="1"/>
  <c r="F767" i="1"/>
  <c r="E767" i="1"/>
  <c r="DM766" i="1"/>
  <c r="DM765" i="1"/>
  <c r="CU765" i="1"/>
  <c r="E764" i="1"/>
  <c r="F764" i="1" s="1"/>
  <c r="DM763" i="1"/>
  <c r="CQ762" i="1"/>
  <c r="DM762" i="1" s="1"/>
  <c r="E761" i="1"/>
  <c r="F761" i="1" s="1"/>
  <c r="DM760" i="1"/>
  <c r="DM759" i="1"/>
  <c r="CU759" i="1"/>
  <c r="CT759" i="1"/>
  <c r="E758" i="1"/>
  <c r="F758" i="1" s="1"/>
  <c r="DM757" i="1"/>
  <c r="CQ756" i="1"/>
  <c r="DM756" i="1" s="1"/>
  <c r="E755" i="1"/>
  <c r="F755" i="1" s="1"/>
  <c r="DM754" i="1"/>
  <c r="DM753" i="1"/>
  <c r="CQ753" i="1"/>
  <c r="F752" i="1"/>
  <c r="E752" i="1"/>
  <c r="DM751" i="1"/>
  <c r="DM750" i="1"/>
  <c r="CQ750" i="1"/>
  <c r="F749" i="1"/>
  <c r="E749" i="1"/>
  <c r="DM748" i="1"/>
  <c r="CU747" i="1"/>
  <c r="DM747" i="1" s="1"/>
  <c r="F746" i="1"/>
  <c r="E746" i="1"/>
  <c r="DM745" i="1"/>
  <c r="CU744" i="1"/>
  <c r="DM744" i="1" s="1"/>
  <c r="E743" i="1"/>
  <c r="F743" i="1" s="1"/>
  <c r="DM742" i="1"/>
  <c r="CU741" i="1"/>
  <c r="DM741" i="1" s="1"/>
  <c r="F740" i="1"/>
  <c r="E740" i="1"/>
  <c r="DM739" i="1"/>
  <c r="DM738" i="1"/>
  <c r="CV738" i="1"/>
  <c r="CU738" i="1"/>
  <c r="E737" i="1"/>
  <c r="F737" i="1" s="1"/>
  <c r="DM736" i="1"/>
  <c r="CU735" i="1"/>
  <c r="DM735" i="1" s="1"/>
  <c r="F734" i="1"/>
  <c r="E734" i="1"/>
  <c r="DM733" i="1"/>
  <c r="DM732" i="1"/>
  <c r="CU732" i="1"/>
  <c r="F731" i="1"/>
  <c r="E731" i="1"/>
  <c r="DM730" i="1"/>
  <c r="DM728" i="1"/>
  <c r="F727" i="1"/>
  <c r="E727" i="1"/>
  <c r="DM726" i="1"/>
  <c r="DM725" i="1"/>
  <c r="E724" i="1"/>
  <c r="F724" i="1" s="1"/>
  <c r="DM723" i="1"/>
  <c r="DM722" i="1"/>
  <c r="CT722" i="1"/>
  <c r="F721" i="1"/>
  <c r="E721" i="1"/>
  <c r="DM720" i="1"/>
  <c r="DM719" i="1"/>
  <c r="F718" i="1"/>
  <c r="E718" i="1"/>
  <c r="DM717" i="1"/>
  <c r="CU716" i="1"/>
  <c r="CT716" i="1"/>
  <c r="DM716" i="1" s="1"/>
  <c r="E715" i="1"/>
  <c r="F715" i="1" s="1"/>
  <c r="DM714" i="1"/>
  <c r="DM713" i="1"/>
  <c r="E712" i="1"/>
  <c r="F712" i="1" s="1"/>
  <c r="DM711" i="1"/>
  <c r="CS710" i="1"/>
  <c r="CR710" i="1"/>
  <c r="CQ710" i="1"/>
  <c r="DM710" i="1" s="1"/>
  <c r="E709" i="1"/>
  <c r="F709" i="1" s="1"/>
  <c r="DM708" i="1"/>
  <c r="CS707" i="1"/>
  <c r="CR707" i="1"/>
  <c r="CQ707" i="1"/>
  <c r="DM707" i="1" s="1"/>
  <c r="F706" i="1"/>
  <c r="E706" i="1"/>
  <c r="DM705" i="1"/>
  <c r="DM704" i="1"/>
  <c r="E703" i="1"/>
  <c r="F703" i="1" s="1"/>
  <c r="DM702" i="1"/>
  <c r="DM701" i="1"/>
  <c r="F700" i="1"/>
  <c r="E700" i="1"/>
  <c r="DM699" i="1"/>
  <c r="CT698" i="1"/>
  <c r="DM698" i="1" s="1"/>
  <c r="F697" i="1"/>
  <c r="E697" i="1"/>
  <c r="DM696" i="1"/>
  <c r="DM695" i="1"/>
  <c r="CT695" i="1"/>
  <c r="E694" i="1"/>
  <c r="F694" i="1" s="1"/>
  <c r="DM693" i="1"/>
  <c r="DM692" i="1"/>
  <c r="F691" i="1"/>
  <c r="E691" i="1"/>
  <c r="DM690" i="1"/>
  <c r="CQ689" i="1"/>
  <c r="DM689" i="1" s="1"/>
  <c r="E688" i="1"/>
  <c r="F688" i="1" s="1"/>
  <c r="DM687" i="1"/>
  <c r="DM686" i="1"/>
  <c r="E685" i="1"/>
  <c r="F685" i="1" s="1"/>
  <c r="DM684" i="1"/>
  <c r="BK681" i="1"/>
  <c r="DM681" i="1" s="1"/>
  <c r="F680" i="1"/>
  <c r="E680" i="1"/>
  <c r="DM679" i="1"/>
  <c r="BF678" i="1"/>
  <c r="DM678" i="1" s="1"/>
  <c r="F677" i="1"/>
  <c r="E677" i="1"/>
  <c r="DM676" i="1"/>
  <c r="BJ675" i="1"/>
  <c r="BF675" i="1"/>
  <c r="DM675" i="1" s="1"/>
  <c r="E674" i="1"/>
  <c r="F674" i="1" s="1"/>
  <c r="DM673" i="1"/>
  <c r="DM672" i="1"/>
  <c r="BK672" i="1"/>
  <c r="BG672" i="1"/>
  <c r="E671" i="1"/>
  <c r="F671" i="1" s="1"/>
  <c r="DM670" i="1"/>
  <c r="DM669" i="1"/>
  <c r="BK669" i="1"/>
  <c r="BF669" i="1"/>
  <c r="E668" i="1"/>
  <c r="F668" i="1" s="1"/>
  <c r="DM667" i="1"/>
  <c r="DM666" i="1"/>
  <c r="BF666" i="1"/>
  <c r="F665" i="1"/>
  <c r="E665" i="1"/>
  <c r="DM664" i="1"/>
  <c r="BF663" i="1"/>
  <c r="DM663" i="1" s="1"/>
  <c r="F662" i="1"/>
  <c r="E662" i="1"/>
  <c r="DM661" i="1"/>
  <c r="BF660" i="1"/>
  <c r="DM660" i="1" s="1"/>
  <c r="E659" i="1"/>
  <c r="F659" i="1" s="1"/>
  <c r="DM658" i="1"/>
  <c r="BK656" i="1"/>
  <c r="DM656" i="1" s="1"/>
  <c r="BF656" i="1"/>
  <c r="E655" i="1"/>
  <c r="F655" i="1" s="1"/>
  <c r="DM654" i="1"/>
  <c r="DM653" i="1"/>
  <c r="F652" i="1"/>
  <c r="E652" i="1"/>
  <c r="DM651" i="1"/>
  <c r="DM650" i="1"/>
  <c r="F649" i="1"/>
  <c r="E649" i="1"/>
  <c r="DM648" i="1"/>
  <c r="BK647" i="1"/>
  <c r="BF647" i="1"/>
  <c r="DM647" i="1" s="1"/>
  <c r="E646" i="1"/>
  <c r="F646" i="1" s="1"/>
  <c r="DM645" i="1"/>
  <c r="DM644" i="1"/>
  <c r="BK644" i="1"/>
  <c r="BF644" i="1"/>
  <c r="F643" i="1"/>
  <c r="E643" i="1"/>
  <c r="DM642" i="1"/>
  <c r="DM641" i="1"/>
  <c r="BK641" i="1"/>
  <c r="BF641" i="1"/>
  <c r="E640" i="1"/>
  <c r="F640" i="1" s="1"/>
  <c r="DM639" i="1"/>
  <c r="DM638" i="1"/>
  <c r="BK638" i="1"/>
  <c r="BF638" i="1"/>
  <c r="E637" i="1"/>
  <c r="F637" i="1" s="1"/>
  <c r="DM636" i="1"/>
  <c r="BK635" i="1"/>
  <c r="DM635" i="1" s="1"/>
  <c r="BF635" i="1"/>
  <c r="F634" i="1"/>
  <c r="E634" i="1"/>
  <c r="DM633" i="1"/>
  <c r="BF632" i="1"/>
  <c r="DM632" i="1" s="1"/>
  <c r="F631" i="1"/>
  <c r="E631" i="1"/>
  <c r="DM630" i="1"/>
  <c r="BF629" i="1"/>
  <c r="DM629" i="1" s="1"/>
  <c r="E628" i="1"/>
  <c r="F628" i="1" s="1"/>
  <c r="DM627" i="1"/>
  <c r="CP625" i="1"/>
  <c r="DM625" i="1" s="1"/>
  <c r="F624" i="1"/>
  <c r="E624" i="1"/>
  <c r="DM623" i="1"/>
  <c r="DM622" i="1"/>
  <c r="CQ622" i="1"/>
  <c r="CO622" i="1"/>
  <c r="E621" i="1"/>
  <c r="F621" i="1" s="1"/>
  <c r="DM620" i="1"/>
  <c r="DM619" i="1"/>
  <c r="CS619" i="1"/>
  <c r="F618" i="1"/>
  <c r="E618" i="1"/>
  <c r="DM617" i="1"/>
  <c r="CT616" i="1"/>
  <c r="CR616" i="1"/>
  <c r="CQ616" i="1"/>
  <c r="DM616" i="1" s="1"/>
  <c r="F615" i="1"/>
  <c r="E615" i="1"/>
  <c r="DM614" i="1"/>
  <c r="CW613" i="1"/>
  <c r="DM613" i="1" s="1"/>
  <c r="F612" i="1"/>
  <c r="E612" i="1"/>
  <c r="DM611" i="1"/>
  <c r="CX610" i="1"/>
  <c r="CV610" i="1"/>
  <c r="DM610" i="1" s="1"/>
  <c r="F609" i="1"/>
  <c r="E609" i="1"/>
  <c r="DM608" i="1"/>
  <c r="DM607" i="1"/>
  <c r="CX607" i="1"/>
  <c r="E606" i="1"/>
  <c r="F606" i="1" s="1"/>
  <c r="DM605" i="1"/>
  <c r="DM604" i="1"/>
  <c r="CZ604" i="1"/>
  <c r="CY604" i="1"/>
  <c r="CX604" i="1"/>
  <c r="E603" i="1"/>
  <c r="F603" i="1" s="1"/>
  <c r="DM602" i="1"/>
  <c r="CZ601" i="1"/>
  <c r="CY601" i="1"/>
  <c r="CX601" i="1"/>
  <c r="CW601" i="1"/>
  <c r="CV601" i="1"/>
  <c r="CT601" i="1"/>
  <c r="CS601" i="1"/>
  <c r="CR601" i="1"/>
  <c r="CQ601" i="1"/>
  <c r="CP601" i="1"/>
  <c r="CO601" i="1"/>
  <c r="CN601" i="1"/>
  <c r="CM601" i="1"/>
  <c r="BF601" i="1"/>
  <c r="F600" i="1"/>
  <c r="E600" i="1"/>
  <c r="DM599" i="1"/>
  <c r="CZ598" i="1"/>
  <c r="CX598" i="1"/>
  <c r="CR598" i="1"/>
  <c r="CP598" i="1"/>
  <c r="CO598" i="1"/>
  <c r="DM598" i="1" s="1"/>
  <c r="F597" i="1"/>
  <c r="E597" i="1"/>
  <c r="DM596" i="1"/>
  <c r="CZ594" i="1"/>
  <c r="CY594" i="1"/>
  <c r="CX594" i="1"/>
  <c r="CW594" i="1"/>
  <c r="CV594" i="1"/>
  <c r="CT594" i="1"/>
  <c r="CS594" i="1"/>
  <c r="CR594" i="1"/>
  <c r="CQ594" i="1"/>
  <c r="CP594" i="1"/>
  <c r="CO594" i="1"/>
  <c r="CN594" i="1"/>
  <c r="CM594" i="1"/>
  <c r="BJ594" i="1"/>
  <c r="BI594" i="1"/>
  <c r="BH594" i="1"/>
  <c r="BF594" i="1"/>
  <c r="DM594" i="1" s="1"/>
  <c r="F593" i="1"/>
  <c r="E593" i="1"/>
  <c r="DM592" i="1"/>
  <c r="CT591" i="1"/>
  <c r="CS591" i="1"/>
  <c r="CR591" i="1"/>
  <c r="CQ591" i="1"/>
  <c r="CP591" i="1"/>
  <c r="CO591" i="1"/>
  <c r="CN591" i="1"/>
  <c r="CM591" i="1"/>
  <c r="BF591" i="1"/>
  <c r="DM591" i="1" s="1"/>
  <c r="E590" i="1"/>
  <c r="F590" i="1" s="1"/>
  <c r="DM589" i="1"/>
  <c r="CQ588" i="1"/>
  <c r="CO588" i="1"/>
  <c r="DM588" i="1" s="1"/>
  <c r="E587" i="1"/>
  <c r="F587" i="1" s="1"/>
  <c r="DM586" i="1"/>
  <c r="CR585" i="1"/>
  <c r="CQ585" i="1"/>
  <c r="CP585" i="1"/>
  <c r="CO585" i="1"/>
  <c r="CN585" i="1"/>
  <c r="DM585" i="1" s="1"/>
  <c r="E584" i="1"/>
  <c r="F584" i="1" s="1"/>
  <c r="DM583" i="1"/>
  <c r="CP582" i="1"/>
  <c r="CN582" i="1"/>
  <c r="CM582" i="1"/>
  <c r="BI582" i="1"/>
  <c r="DM582" i="1" s="1"/>
  <c r="F581" i="1"/>
  <c r="E581" i="1"/>
  <c r="DM580" i="1"/>
  <c r="CV579" i="1"/>
  <c r="CU579" i="1"/>
  <c r="CT579" i="1"/>
  <c r="DM579" i="1" s="1"/>
  <c r="F578" i="1"/>
  <c r="E578" i="1"/>
  <c r="DM577" i="1"/>
  <c r="CT576" i="1"/>
  <c r="CR576" i="1"/>
  <c r="DM576" i="1" s="1"/>
  <c r="E575" i="1"/>
  <c r="F575" i="1" s="1"/>
  <c r="DM574" i="1"/>
  <c r="DM573" i="1"/>
  <c r="E572" i="1"/>
  <c r="F572" i="1" s="1"/>
  <c r="DM571" i="1"/>
  <c r="BF570" i="1"/>
  <c r="DM570" i="1" s="1"/>
  <c r="F569" i="1"/>
  <c r="E569" i="1"/>
  <c r="DM568" i="1"/>
  <c r="CZ567" i="1"/>
  <c r="CY567" i="1"/>
  <c r="CX567" i="1"/>
  <c r="CW567" i="1"/>
  <c r="CV567" i="1"/>
  <c r="CT567" i="1"/>
  <c r="CS567" i="1"/>
  <c r="CR567" i="1"/>
  <c r="CQ567" i="1"/>
  <c r="CP567" i="1"/>
  <c r="CO567" i="1"/>
  <c r="DM567" i="1" s="1"/>
  <c r="CN567" i="1"/>
  <c r="CM567" i="1"/>
  <c r="BF567" i="1"/>
  <c r="F566" i="1"/>
  <c r="E566" i="1"/>
  <c r="DM565" i="1"/>
  <c r="CZ564" i="1"/>
  <c r="CY564" i="1"/>
  <c r="CX564" i="1"/>
  <c r="CW564" i="1"/>
  <c r="CV564" i="1"/>
  <c r="CT564" i="1"/>
  <c r="CS564" i="1"/>
  <c r="CR564" i="1"/>
  <c r="CQ564" i="1"/>
  <c r="CP564" i="1"/>
  <c r="CO564" i="1"/>
  <c r="CN564" i="1"/>
  <c r="CM564" i="1"/>
  <c r="BJ564" i="1"/>
  <c r="BI564" i="1"/>
  <c r="BF564" i="1"/>
  <c r="DM564" i="1" s="1"/>
  <c r="E563" i="1"/>
  <c r="F563" i="1" s="1"/>
  <c r="DM562" i="1"/>
  <c r="CP561" i="1"/>
  <c r="DM561" i="1" s="1"/>
  <c r="CO561" i="1"/>
  <c r="CN561" i="1"/>
  <c r="CM561" i="1"/>
  <c r="BF561" i="1"/>
  <c r="E560" i="1"/>
  <c r="F560" i="1" s="1"/>
  <c r="DM559" i="1"/>
  <c r="CQ558" i="1"/>
  <c r="DM558" i="1" s="1"/>
  <c r="CP558" i="1"/>
  <c r="CO558" i="1"/>
  <c r="CM558" i="1"/>
  <c r="BF558" i="1"/>
  <c r="E557" i="1"/>
  <c r="F557" i="1" s="1"/>
  <c r="DM556" i="1"/>
  <c r="CT555" i="1"/>
  <c r="CR555" i="1"/>
  <c r="CQ555" i="1"/>
  <c r="CP555" i="1"/>
  <c r="CN555" i="1"/>
  <c r="BJ555" i="1"/>
  <c r="BI555" i="1"/>
  <c r="BF555" i="1"/>
  <c r="DM555" i="1" s="1"/>
  <c r="E554" i="1"/>
  <c r="F554" i="1" s="1"/>
  <c r="DM553" i="1"/>
  <c r="CZ552" i="1"/>
  <c r="CY552" i="1"/>
  <c r="CX552" i="1"/>
  <c r="CV552" i="1"/>
  <c r="CR552" i="1"/>
  <c r="CQ552" i="1"/>
  <c r="CP552" i="1"/>
  <c r="CO552" i="1"/>
  <c r="CN552" i="1"/>
  <c r="DM552" i="1" s="1"/>
  <c r="BF552" i="1"/>
  <c r="E551" i="1"/>
  <c r="F551" i="1" s="1"/>
  <c r="DM550" i="1"/>
  <c r="CP549" i="1"/>
  <c r="DM549" i="1" s="1"/>
  <c r="CN549" i="1"/>
  <c r="BF549" i="1"/>
  <c r="E548" i="1"/>
  <c r="F548" i="1" s="1"/>
  <c r="DM547" i="1"/>
  <c r="CX546" i="1"/>
  <c r="CT546" i="1"/>
  <c r="CS546" i="1"/>
  <c r="CR546" i="1"/>
  <c r="CQ546" i="1"/>
  <c r="CP546" i="1"/>
  <c r="CO546" i="1"/>
  <c r="CN546" i="1"/>
  <c r="BF546" i="1"/>
  <c r="DM546" i="1" s="1"/>
  <c r="F545" i="1"/>
  <c r="E545" i="1"/>
  <c r="DM544" i="1"/>
  <c r="CP542" i="1"/>
  <c r="CO542" i="1"/>
  <c r="CN542" i="1"/>
  <c r="CM542" i="1"/>
  <c r="BF542" i="1"/>
  <c r="F541" i="1"/>
  <c r="E541" i="1"/>
  <c r="DM540" i="1"/>
  <c r="DM539" i="1"/>
  <c r="CQ539" i="1"/>
  <c r="CP539" i="1"/>
  <c r="CO539" i="1"/>
  <c r="CM539" i="1"/>
  <c r="BF539" i="1"/>
  <c r="E538" i="1"/>
  <c r="F538" i="1" s="1"/>
  <c r="DM537" i="1"/>
  <c r="DM536" i="1"/>
  <c r="CT536" i="1"/>
  <c r="CR536" i="1"/>
  <c r="CQ536" i="1"/>
  <c r="CP536" i="1"/>
  <c r="CN536" i="1"/>
  <c r="BF536" i="1"/>
  <c r="F535" i="1"/>
  <c r="E535" i="1"/>
  <c r="DM534" i="1"/>
  <c r="CZ533" i="1"/>
  <c r="CY533" i="1"/>
  <c r="CX533" i="1"/>
  <c r="CV533" i="1"/>
  <c r="CR533" i="1"/>
  <c r="CQ533" i="1"/>
  <c r="CP533" i="1"/>
  <c r="CO533" i="1"/>
  <c r="CN533" i="1"/>
  <c r="BF533" i="1"/>
  <c r="E532" i="1"/>
  <c r="F532" i="1" s="1"/>
  <c r="DM531" i="1"/>
  <c r="CP530" i="1"/>
  <c r="CN530" i="1"/>
  <c r="BF530" i="1"/>
  <c r="DM530" i="1" s="1"/>
  <c r="F529" i="1"/>
  <c r="E529" i="1"/>
  <c r="DM528" i="1"/>
  <c r="CX527" i="1"/>
  <c r="CT527" i="1"/>
  <c r="CS527" i="1"/>
  <c r="CR527" i="1"/>
  <c r="CQ527" i="1"/>
  <c r="CP527" i="1"/>
  <c r="CO527" i="1"/>
  <c r="CN527" i="1"/>
  <c r="BF527" i="1"/>
  <c r="E526" i="1"/>
  <c r="F526" i="1" s="1"/>
  <c r="DM525" i="1"/>
  <c r="CP523" i="1"/>
  <c r="DM523" i="1" s="1"/>
  <c r="CO523" i="1"/>
  <c r="CN523" i="1"/>
  <c r="CM523" i="1"/>
  <c r="BF523" i="1"/>
  <c r="E522" i="1"/>
  <c r="F522" i="1" s="1"/>
  <c r="DM521" i="1"/>
  <c r="CQ520" i="1"/>
  <c r="CP520" i="1"/>
  <c r="CO520" i="1"/>
  <c r="CM520" i="1"/>
  <c r="BF520" i="1"/>
  <c r="F519" i="1"/>
  <c r="E519" i="1"/>
  <c r="DM518" i="1"/>
  <c r="CT517" i="1"/>
  <c r="CR517" i="1"/>
  <c r="CQ517" i="1"/>
  <c r="CP517" i="1"/>
  <c r="CN517" i="1"/>
  <c r="BF517" i="1"/>
  <c r="DM517" i="1" s="1"/>
  <c r="E516" i="1"/>
  <c r="F516" i="1" s="1"/>
  <c r="DM515" i="1"/>
  <c r="CZ514" i="1"/>
  <c r="CY514" i="1"/>
  <c r="CX514" i="1"/>
  <c r="CV514" i="1"/>
  <c r="CR514" i="1"/>
  <c r="CQ514" i="1"/>
  <c r="CP514" i="1"/>
  <c r="CO514" i="1"/>
  <c r="CN514" i="1"/>
  <c r="BF514" i="1"/>
  <c r="DM514" i="1" s="1"/>
  <c r="F513" i="1"/>
  <c r="E513" i="1"/>
  <c r="DM512" i="1"/>
  <c r="DM511" i="1"/>
  <c r="CP511" i="1"/>
  <c r="CN511" i="1"/>
  <c r="BF511" i="1"/>
  <c r="F510" i="1"/>
  <c r="E510" i="1"/>
  <c r="DM509" i="1"/>
  <c r="CX508" i="1"/>
  <c r="CT508" i="1"/>
  <c r="CS508" i="1"/>
  <c r="CR508" i="1"/>
  <c r="CQ508" i="1"/>
  <c r="CP508" i="1"/>
  <c r="CO508" i="1"/>
  <c r="CN508" i="1"/>
  <c r="BF508" i="1"/>
  <c r="DM508" i="1" s="1"/>
  <c r="F507" i="1"/>
  <c r="E507" i="1"/>
  <c r="DM506" i="1"/>
  <c r="CP504" i="1"/>
  <c r="CO504" i="1"/>
  <c r="CN504" i="1"/>
  <c r="CM504" i="1"/>
  <c r="BF504" i="1"/>
  <c r="F503" i="1"/>
  <c r="E503" i="1"/>
  <c r="DM502" i="1"/>
  <c r="CQ501" i="1"/>
  <c r="CP501" i="1"/>
  <c r="CO501" i="1"/>
  <c r="DM501" i="1" s="1"/>
  <c r="CM501" i="1"/>
  <c r="BF501" i="1"/>
  <c r="E500" i="1"/>
  <c r="F500" i="1" s="1"/>
  <c r="DM499" i="1"/>
  <c r="CT498" i="1"/>
  <c r="CR498" i="1"/>
  <c r="CQ498" i="1"/>
  <c r="CP498" i="1"/>
  <c r="CN498" i="1"/>
  <c r="BF498" i="1"/>
  <c r="E497" i="1"/>
  <c r="F497" i="1" s="1"/>
  <c r="DM496" i="1"/>
  <c r="CZ495" i="1"/>
  <c r="CY495" i="1"/>
  <c r="CX495" i="1"/>
  <c r="CV495" i="1"/>
  <c r="CR495" i="1"/>
  <c r="CQ495" i="1"/>
  <c r="CP495" i="1"/>
  <c r="CO495" i="1"/>
  <c r="CN495" i="1"/>
  <c r="BF495" i="1"/>
  <c r="DM495" i="1" s="1"/>
  <c r="E494" i="1"/>
  <c r="F494" i="1" s="1"/>
  <c r="DM493" i="1"/>
  <c r="DM492" i="1"/>
  <c r="CP492" i="1"/>
  <c r="CN492" i="1"/>
  <c r="BF492" i="1"/>
  <c r="E491" i="1"/>
  <c r="F491" i="1" s="1"/>
  <c r="DM490" i="1"/>
  <c r="CX489" i="1"/>
  <c r="CT489" i="1"/>
  <c r="CS489" i="1"/>
  <c r="CR489" i="1"/>
  <c r="CQ489" i="1"/>
  <c r="CP489" i="1"/>
  <c r="CO489" i="1"/>
  <c r="CN489" i="1"/>
  <c r="BF489" i="1"/>
  <c r="E488" i="1"/>
  <c r="F488" i="1" s="1"/>
  <c r="DM487" i="1"/>
  <c r="CP485" i="1"/>
  <c r="CO485" i="1"/>
  <c r="CN485" i="1"/>
  <c r="CM485" i="1"/>
  <c r="BF485" i="1"/>
  <c r="DM485" i="1" s="1"/>
  <c r="E484" i="1"/>
  <c r="F484" i="1" s="1"/>
  <c r="DM483" i="1"/>
  <c r="CQ482" i="1"/>
  <c r="CP482" i="1"/>
  <c r="CO482" i="1"/>
  <c r="CM482" i="1"/>
  <c r="BF482" i="1"/>
  <c r="DM482" i="1" s="1"/>
  <c r="E481" i="1"/>
  <c r="F481" i="1" s="1"/>
  <c r="DM480" i="1"/>
  <c r="CT479" i="1"/>
  <c r="CR479" i="1"/>
  <c r="CQ479" i="1"/>
  <c r="CP479" i="1"/>
  <c r="CN479" i="1"/>
  <c r="BF479" i="1"/>
  <c r="E478" i="1"/>
  <c r="F478" i="1" s="1"/>
  <c r="DM477" i="1"/>
  <c r="CZ476" i="1"/>
  <c r="CY476" i="1"/>
  <c r="CX476" i="1"/>
  <c r="CV476" i="1"/>
  <c r="CR476" i="1"/>
  <c r="CQ476" i="1"/>
  <c r="CP476" i="1"/>
  <c r="CO476" i="1"/>
  <c r="CN476" i="1"/>
  <c r="DM476" i="1" s="1"/>
  <c r="BF476" i="1"/>
  <c r="F475" i="1"/>
  <c r="E475" i="1"/>
  <c r="DM474" i="1"/>
  <c r="DM473" i="1"/>
  <c r="CP473" i="1"/>
  <c r="CN473" i="1"/>
  <c r="BF473" i="1"/>
  <c r="F472" i="1"/>
  <c r="E472" i="1"/>
  <c r="DM471" i="1"/>
  <c r="CX470" i="1"/>
  <c r="CT470" i="1"/>
  <c r="CS470" i="1"/>
  <c r="CR470" i="1"/>
  <c r="CQ470" i="1"/>
  <c r="CP470" i="1"/>
  <c r="CO470" i="1"/>
  <c r="CN470" i="1"/>
  <c r="BF470" i="1"/>
  <c r="DM470" i="1" s="1"/>
  <c r="E469" i="1"/>
  <c r="F469" i="1" s="1"/>
  <c r="DM468" i="1"/>
  <c r="CZ466" i="1"/>
  <c r="CY466" i="1"/>
  <c r="CX466" i="1"/>
  <c r="CV466" i="1"/>
  <c r="CT466" i="1"/>
  <c r="CS466" i="1"/>
  <c r="CR466" i="1"/>
  <c r="CQ466" i="1"/>
  <c r="CP466" i="1"/>
  <c r="CO466" i="1"/>
  <c r="CN466" i="1"/>
  <c r="CM466" i="1"/>
  <c r="BF466" i="1"/>
  <c r="F465" i="1"/>
  <c r="E465" i="1"/>
  <c r="DM464" i="1"/>
  <c r="CZ462" i="1"/>
  <c r="CY462" i="1"/>
  <c r="CX462" i="1"/>
  <c r="CW462" i="1"/>
  <c r="CV462" i="1"/>
  <c r="CT462" i="1"/>
  <c r="CS462" i="1"/>
  <c r="CR462" i="1"/>
  <c r="CQ462" i="1"/>
  <c r="DM462" i="1" s="1"/>
  <c r="CP462" i="1"/>
  <c r="CO462" i="1"/>
  <c r="CN462" i="1"/>
  <c r="CM462" i="1"/>
  <c r="BF462" i="1"/>
  <c r="E461" i="1"/>
  <c r="F461" i="1" s="1"/>
  <c r="DM460" i="1"/>
  <c r="DM458" i="1"/>
  <c r="F457" i="1"/>
  <c r="E457" i="1"/>
  <c r="DM456" i="1"/>
  <c r="DM455" i="1"/>
  <c r="F454" i="1"/>
  <c r="E454" i="1"/>
  <c r="DM453" i="1"/>
  <c r="DM452" i="1"/>
  <c r="CX452" i="1"/>
  <c r="CV452" i="1"/>
  <c r="E451" i="1"/>
  <c r="F451" i="1" s="1"/>
  <c r="DM450" i="1"/>
  <c r="CX449" i="1"/>
  <c r="CW449" i="1"/>
  <c r="CV449" i="1"/>
  <c r="DM449" i="1" s="1"/>
  <c r="E448" i="1"/>
  <c r="F448" i="1" s="1"/>
  <c r="DM447" i="1"/>
  <c r="CN446" i="1"/>
  <c r="CM446" i="1"/>
  <c r="BG446" i="1"/>
  <c r="BF446" i="1"/>
  <c r="F445" i="1"/>
  <c r="E445" i="1"/>
  <c r="DM444" i="1"/>
  <c r="CZ442" i="1"/>
  <c r="CX442" i="1"/>
  <c r="CU442" i="1"/>
  <c r="CS442" i="1"/>
  <c r="CR442" i="1"/>
  <c r="CO442" i="1"/>
  <c r="CN442" i="1"/>
  <c r="CM442" i="1"/>
  <c r="CF442" i="1"/>
  <c r="BK442" i="1"/>
  <c r="BI442" i="1"/>
  <c r="BG442" i="1"/>
  <c r="BF442" i="1"/>
  <c r="DM442" i="1" s="1"/>
  <c r="E441" i="1"/>
  <c r="F441" i="1" s="1"/>
  <c r="DM440" i="1"/>
  <c r="CX439" i="1"/>
  <c r="CW439" i="1"/>
  <c r="CV439" i="1"/>
  <c r="DM439" i="1" s="1"/>
  <c r="CU439" i="1"/>
  <c r="F438" i="1"/>
  <c r="E438" i="1"/>
  <c r="DM437" i="1"/>
  <c r="CN436" i="1"/>
  <c r="CM436" i="1"/>
  <c r="DM436" i="1" s="1"/>
  <c r="E435" i="1"/>
  <c r="F435" i="1" s="1"/>
  <c r="DM434" i="1"/>
  <c r="DM433" i="1"/>
  <c r="F432" i="1"/>
  <c r="E432" i="1"/>
  <c r="DM431" i="1"/>
  <c r="DM430" i="1"/>
  <c r="E429" i="1"/>
  <c r="F429" i="1" s="1"/>
  <c r="DM428" i="1"/>
  <c r="DM427" i="1"/>
  <c r="E426" i="1"/>
  <c r="F426" i="1" s="1"/>
  <c r="DM425" i="1"/>
  <c r="CZ424" i="1"/>
  <c r="CX424" i="1"/>
  <c r="CU424" i="1"/>
  <c r="CS424" i="1"/>
  <c r="CR424" i="1"/>
  <c r="CP424" i="1"/>
  <c r="CO424" i="1"/>
  <c r="CN424" i="1"/>
  <c r="BG424" i="1"/>
  <c r="BF424" i="1"/>
  <c r="F423" i="1"/>
  <c r="E423" i="1"/>
  <c r="DM422" i="1"/>
  <c r="CY421" i="1"/>
  <c r="CW421" i="1"/>
  <c r="CT421" i="1"/>
  <c r="CR421" i="1"/>
  <c r="CQ421" i="1"/>
  <c r="CN421" i="1"/>
  <c r="CM421" i="1"/>
  <c r="CL421" i="1"/>
  <c r="CF421" i="1"/>
  <c r="BK421" i="1"/>
  <c r="BI421" i="1"/>
  <c r="BG421" i="1"/>
  <c r="BF421" i="1"/>
  <c r="DM421" i="1" s="1"/>
  <c r="E420" i="1"/>
  <c r="F420" i="1" s="1"/>
  <c r="DM419" i="1"/>
  <c r="CY418" i="1"/>
  <c r="CW418" i="1"/>
  <c r="BK418" i="1"/>
  <c r="DM418" i="1" s="1"/>
  <c r="BJ418" i="1"/>
  <c r="BI418" i="1"/>
  <c r="E417" i="1"/>
  <c r="F417" i="1" s="1"/>
  <c r="DM416" i="1"/>
  <c r="CT415" i="1"/>
  <c r="CR415" i="1"/>
  <c r="CQ415" i="1"/>
  <c r="BG415" i="1"/>
  <c r="DM415" i="1" s="1"/>
  <c r="BF415" i="1"/>
  <c r="E414" i="1"/>
  <c r="F414" i="1" s="1"/>
  <c r="DM413" i="1"/>
  <c r="CN412" i="1"/>
  <c r="CM412" i="1"/>
  <c r="CL412" i="1"/>
  <c r="BG412" i="1"/>
  <c r="BF412" i="1"/>
  <c r="DM412" i="1" s="1"/>
  <c r="F411" i="1"/>
  <c r="E411" i="1"/>
  <c r="DM410" i="1"/>
  <c r="CY408" i="1"/>
  <c r="CW408" i="1"/>
  <c r="BJ408" i="1"/>
  <c r="DM408" i="1" s="1"/>
  <c r="BI408" i="1"/>
  <c r="E407" i="1"/>
  <c r="F407" i="1" s="1"/>
  <c r="DM406" i="1"/>
  <c r="CT405" i="1"/>
  <c r="CR405" i="1"/>
  <c r="CQ405" i="1"/>
  <c r="BG405" i="1"/>
  <c r="DM405" i="1" s="1"/>
  <c r="BF405" i="1"/>
  <c r="F404" i="1"/>
  <c r="E404" i="1"/>
  <c r="DM403" i="1"/>
  <c r="CN402" i="1"/>
  <c r="CM402" i="1"/>
  <c r="DM402" i="1" s="1"/>
  <c r="BG402" i="1"/>
  <c r="BF402" i="1"/>
  <c r="E401" i="1"/>
  <c r="F401" i="1" s="1"/>
  <c r="DM400" i="1"/>
  <c r="CP398" i="1"/>
  <c r="DM398" i="1" s="1"/>
  <c r="BF398" i="1"/>
  <c r="F397" i="1"/>
  <c r="E397" i="1"/>
  <c r="DM396" i="1"/>
  <c r="DM395" i="1"/>
  <c r="DJ395" i="1"/>
  <c r="DI395" i="1"/>
  <c r="E394" i="1"/>
  <c r="F394" i="1" s="1"/>
  <c r="DM393" i="1"/>
  <c r="DM392" i="1"/>
  <c r="E391" i="1"/>
  <c r="F391" i="1" s="1"/>
  <c r="DM390" i="1"/>
  <c r="DG389" i="1"/>
  <c r="DM389" i="1" s="1"/>
  <c r="DE389" i="1"/>
  <c r="F388" i="1"/>
  <c r="E388" i="1"/>
  <c r="DM387" i="1"/>
  <c r="CY386" i="1"/>
  <c r="CW386" i="1"/>
  <c r="CU386" i="1"/>
  <c r="CT386" i="1"/>
  <c r="CR386" i="1"/>
  <c r="DM386" i="1" s="1"/>
  <c r="F385" i="1"/>
  <c r="E385" i="1"/>
  <c r="DM384" i="1"/>
  <c r="DL383" i="1"/>
  <c r="CY383" i="1"/>
  <c r="CW383" i="1"/>
  <c r="CV383" i="1"/>
  <c r="CT383" i="1"/>
  <c r="CR383" i="1"/>
  <c r="CQ383" i="1"/>
  <c r="CP383" i="1"/>
  <c r="CN383" i="1"/>
  <c r="CM383" i="1"/>
  <c r="DM383" i="1" s="1"/>
  <c r="F382" i="1"/>
  <c r="E382" i="1"/>
  <c r="DM381" i="1"/>
  <c r="CY380" i="1"/>
  <c r="DM380" i="1" s="1"/>
  <c r="CW380" i="1"/>
  <c r="E379" i="1"/>
  <c r="F379" i="1" s="1"/>
  <c r="DM378" i="1"/>
  <c r="CY377" i="1"/>
  <c r="CW377" i="1"/>
  <c r="BI377" i="1"/>
  <c r="BH377" i="1"/>
  <c r="DM377" i="1" s="1"/>
  <c r="E376" i="1"/>
  <c r="F376" i="1" s="1"/>
  <c r="DM375" i="1"/>
  <c r="BG374" i="1"/>
  <c r="DM374" i="1" s="1"/>
  <c r="BF374" i="1"/>
  <c r="E373" i="1"/>
  <c r="F373" i="1" s="1"/>
  <c r="DM372" i="1"/>
  <c r="CN371" i="1"/>
  <c r="CM371" i="1"/>
  <c r="CL371" i="1"/>
  <c r="CK371" i="1"/>
  <c r="BG371" i="1"/>
  <c r="BF371" i="1"/>
  <c r="E370" i="1"/>
  <c r="F370" i="1" s="1"/>
  <c r="DM369" i="1"/>
  <c r="BI367" i="1"/>
  <c r="BH367" i="1"/>
  <c r="F366" i="1"/>
  <c r="E366" i="1"/>
  <c r="DM365" i="1"/>
  <c r="BG364" i="1"/>
  <c r="BF364" i="1"/>
  <c r="DM364" i="1" s="1"/>
  <c r="E363" i="1"/>
  <c r="F363" i="1" s="1"/>
  <c r="DM362" i="1"/>
  <c r="CN361" i="1"/>
  <c r="CM361" i="1"/>
  <c r="CL361" i="1"/>
  <c r="CK361" i="1"/>
  <c r="BG361" i="1"/>
  <c r="BF361" i="1"/>
  <c r="E360" i="1"/>
  <c r="F360" i="1" s="1"/>
  <c r="DM359" i="1"/>
  <c r="CY357" i="1"/>
  <c r="CW357" i="1"/>
  <c r="BI357" i="1"/>
  <c r="DM357" i="1" s="1"/>
  <c r="BH357" i="1"/>
  <c r="BG357" i="1"/>
  <c r="E356" i="1"/>
  <c r="F356" i="1" s="1"/>
  <c r="DM355" i="1"/>
  <c r="CT354" i="1"/>
  <c r="DM354" i="1" s="1"/>
  <c r="CR354" i="1"/>
  <c r="CQ354" i="1"/>
  <c r="BG354" i="1"/>
  <c r="BF354" i="1"/>
  <c r="E353" i="1"/>
  <c r="F353" i="1" s="1"/>
  <c r="DM352" i="1"/>
  <c r="CN351" i="1"/>
  <c r="CM351" i="1"/>
  <c r="CL351" i="1"/>
  <c r="CK351" i="1"/>
  <c r="BG351" i="1"/>
  <c r="BF351" i="1"/>
  <c r="E350" i="1"/>
  <c r="F350" i="1" s="1"/>
  <c r="DM349" i="1"/>
  <c r="CN347" i="1"/>
  <c r="CM347" i="1"/>
  <c r="BG347" i="1"/>
  <c r="DM347" i="1" s="1"/>
  <c r="E346" i="1"/>
  <c r="F346" i="1" s="1"/>
  <c r="DM345" i="1"/>
  <c r="DL343" i="1"/>
  <c r="DJ343" i="1"/>
  <c r="DI343" i="1"/>
  <c r="DG343" i="1"/>
  <c r="DE343" i="1"/>
  <c r="CY343" i="1"/>
  <c r="CW343" i="1"/>
  <c r="CV343" i="1"/>
  <c r="CU343" i="1"/>
  <c r="CT343" i="1"/>
  <c r="CR343" i="1"/>
  <c r="CQ343" i="1"/>
  <c r="CP343" i="1"/>
  <c r="CN343" i="1"/>
  <c r="CM343" i="1"/>
  <c r="CL343" i="1"/>
  <c r="CK343" i="1"/>
  <c r="BI343" i="1"/>
  <c r="BH343" i="1"/>
  <c r="BG343" i="1"/>
  <c r="BF343" i="1"/>
  <c r="F342" i="1"/>
  <c r="E342" i="1"/>
  <c r="DM341" i="1"/>
  <c r="DM339" i="1"/>
  <c r="F338" i="1"/>
  <c r="E338" i="1"/>
  <c r="DM337" i="1"/>
  <c r="DM335" i="1"/>
  <c r="CX335" i="1"/>
  <c r="E334" i="1"/>
  <c r="F334" i="1" s="1"/>
  <c r="DM333" i="1"/>
  <c r="CX332" i="1"/>
  <c r="DM332" i="1" s="1"/>
  <c r="E331" i="1"/>
  <c r="F331" i="1" s="1"/>
  <c r="DM330" i="1"/>
  <c r="CW329" i="1"/>
  <c r="DM329" i="1" s="1"/>
  <c r="E328" i="1"/>
  <c r="F328" i="1" s="1"/>
  <c r="DM327" i="1"/>
  <c r="CW326" i="1"/>
  <c r="DM326" i="1" s="1"/>
  <c r="F325" i="1"/>
  <c r="E325" i="1"/>
  <c r="DM324" i="1"/>
  <c r="DM323" i="1"/>
  <c r="CW323" i="1"/>
  <c r="F322" i="1"/>
  <c r="E322" i="1"/>
  <c r="DM321" i="1"/>
  <c r="CW320" i="1"/>
  <c r="DM320" i="1" s="1"/>
  <c r="E319" i="1"/>
  <c r="F319" i="1" s="1"/>
  <c r="DM318" i="1"/>
  <c r="CW317" i="1"/>
  <c r="DM317" i="1" s="1"/>
  <c r="E316" i="1"/>
  <c r="F316" i="1" s="1"/>
  <c r="DM315" i="1"/>
  <c r="DM313" i="1"/>
  <c r="F312" i="1"/>
  <c r="E312" i="1"/>
  <c r="DM311" i="1"/>
  <c r="CM310" i="1"/>
  <c r="DM310" i="1" s="1"/>
  <c r="CJ310" i="1"/>
  <c r="E309" i="1"/>
  <c r="F309" i="1" s="1"/>
  <c r="DM308" i="1"/>
  <c r="DA307" i="1"/>
  <c r="CY307" i="1"/>
  <c r="DM307" i="1" s="1"/>
  <c r="F306" i="1"/>
  <c r="E306" i="1"/>
  <c r="DM305" i="1"/>
  <c r="DM304" i="1"/>
  <c r="DC304" i="1"/>
  <c r="DA304" i="1"/>
  <c r="E303" i="1"/>
  <c r="F303" i="1" s="1"/>
  <c r="DM302" i="1"/>
  <c r="DB301" i="1"/>
  <c r="DM301" i="1" s="1"/>
  <c r="DA301" i="1"/>
  <c r="CY301" i="1"/>
  <c r="E300" i="1"/>
  <c r="F300" i="1" s="1"/>
  <c r="DM299" i="1"/>
  <c r="DM298" i="1"/>
  <c r="DK298" i="1"/>
  <c r="E297" i="1"/>
  <c r="F297" i="1" s="1"/>
  <c r="DM296" i="1"/>
  <c r="CV295" i="1"/>
  <c r="DM295" i="1" s="1"/>
  <c r="F294" i="1"/>
  <c r="E294" i="1"/>
  <c r="DM293" i="1"/>
  <c r="DM292" i="1"/>
  <c r="CO292" i="1"/>
  <c r="F291" i="1"/>
  <c r="E291" i="1"/>
  <c r="DM290" i="1"/>
  <c r="CY289" i="1"/>
  <c r="DM289" i="1" s="1"/>
  <c r="E288" i="1"/>
  <c r="F288" i="1" s="1"/>
  <c r="DM287" i="1"/>
  <c r="CX286" i="1"/>
  <c r="DM286" i="1" s="1"/>
  <c r="E285" i="1"/>
  <c r="F285" i="1" s="1"/>
  <c r="DM284" i="1"/>
  <c r="DM283" i="1"/>
  <c r="CO283" i="1"/>
  <c r="F282" i="1"/>
  <c r="E282" i="1"/>
  <c r="DM281" i="1"/>
  <c r="DM280" i="1"/>
  <c r="CO280" i="1"/>
  <c r="E279" i="1"/>
  <c r="F279" i="1" s="1"/>
  <c r="DM278" i="1"/>
  <c r="DM277" i="1"/>
  <c r="F276" i="1"/>
  <c r="E276" i="1"/>
  <c r="DM275" i="1"/>
  <c r="DM273" i="1"/>
  <c r="CR273" i="1"/>
  <c r="CQ273" i="1"/>
  <c r="CP273" i="1"/>
  <c r="CO273" i="1"/>
  <c r="E272" i="1"/>
  <c r="F272" i="1" s="1"/>
  <c r="DM271" i="1"/>
  <c r="DM270" i="1"/>
  <c r="CS270" i="1"/>
  <c r="E269" i="1"/>
  <c r="F269" i="1" s="1"/>
  <c r="DM268" i="1"/>
  <c r="CT267" i="1"/>
  <c r="DM267" i="1" s="1"/>
  <c r="CS267" i="1"/>
  <c r="E266" i="1"/>
  <c r="F266" i="1" s="1"/>
  <c r="DM265" i="1"/>
  <c r="BF264" i="1"/>
  <c r="DM264" i="1" s="1"/>
  <c r="F263" i="1"/>
  <c r="E263" i="1"/>
  <c r="DM262" i="1"/>
  <c r="BF261" i="1"/>
  <c r="DM261" i="1" s="1"/>
  <c r="E260" i="1"/>
  <c r="F260" i="1" s="1"/>
  <c r="DM259" i="1"/>
  <c r="DM258" i="1"/>
  <c r="BF258" i="1"/>
  <c r="E257" i="1"/>
  <c r="F257" i="1" s="1"/>
  <c r="DM256" i="1"/>
  <c r="BH255" i="1"/>
  <c r="DM255" i="1" s="1"/>
  <c r="E254" i="1"/>
  <c r="F254" i="1" s="1"/>
  <c r="DM253" i="1"/>
  <c r="BI252" i="1"/>
  <c r="BH252" i="1"/>
  <c r="BF252" i="1"/>
  <c r="DM252" i="1" s="1"/>
  <c r="E251" i="1"/>
  <c r="F251" i="1" s="1"/>
  <c r="DM250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BK249" i="1"/>
  <c r="BF249" i="1"/>
  <c r="E248" i="1"/>
  <c r="F248" i="1" s="1"/>
  <c r="DM247" i="1"/>
  <c r="DB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CM246" i="1"/>
  <c r="CL246" i="1"/>
  <c r="DM246" i="1" s="1"/>
  <c r="E245" i="1"/>
  <c r="F245" i="1" s="1"/>
  <c r="DM244" i="1"/>
  <c r="DM243" i="1"/>
  <c r="CX243" i="1"/>
  <c r="F242" i="1"/>
  <c r="E242" i="1"/>
  <c r="DM241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DM239" i="1" s="1"/>
  <c r="CL239" i="1"/>
  <c r="BF239" i="1"/>
  <c r="E238" i="1"/>
  <c r="F238" i="1" s="1"/>
  <c r="DM237" i="1"/>
  <c r="CF236" i="1"/>
  <c r="DM236" i="1" s="1"/>
  <c r="BF236" i="1"/>
  <c r="F235" i="1"/>
  <c r="E235" i="1"/>
  <c r="DM234" i="1"/>
  <c r="CV233" i="1"/>
  <c r="CT233" i="1"/>
  <c r="CS233" i="1"/>
  <c r="CR233" i="1"/>
  <c r="CQ233" i="1"/>
  <c r="CP233" i="1"/>
  <c r="CO233" i="1"/>
  <c r="CN233" i="1"/>
  <c r="CM233" i="1"/>
  <c r="CL233" i="1"/>
  <c r="DM233" i="1" s="1"/>
  <c r="BF233" i="1"/>
  <c r="F232" i="1"/>
  <c r="E232" i="1"/>
  <c r="DM231" i="1"/>
  <c r="DM230" i="1"/>
  <c r="F229" i="1"/>
  <c r="E229" i="1"/>
  <c r="DM228" i="1"/>
  <c r="CU227" i="1"/>
  <c r="CT227" i="1"/>
  <c r="CS227" i="1"/>
  <c r="CR227" i="1"/>
  <c r="CQ227" i="1"/>
  <c r="CP227" i="1"/>
  <c r="CO227" i="1"/>
  <c r="CN227" i="1"/>
  <c r="CL227" i="1"/>
  <c r="E226" i="1"/>
  <c r="F226" i="1" s="1"/>
  <c r="DM225" i="1"/>
  <c r="DC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BF224" i="1"/>
  <c r="DM224" i="1" s="1"/>
  <c r="E223" i="1"/>
  <c r="F223" i="1" s="1"/>
  <c r="DM222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DM221" i="1" s="1"/>
  <c r="CM221" i="1"/>
  <c r="CL221" i="1"/>
  <c r="CK221" i="1"/>
  <c r="BF221" i="1"/>
  <c r="E220" i="1"/>
  <c r="F220" i="1" s="1"/>
  <c r="DM219" i="1"/>
  <c r="CO218" i="1"/>
  <c r="CN218" i="1"/>
  <c r="DM218" i="1" s="1"/>
  <c r="E217" i="1"/>
  <c r="F217" i="1" s="1"/>
  <c r="DM216" i="1"/>
  <c r="DM215" i="1"/>
  <c r="CO215" i="1"/>
  <c r="CN215" i="1"/>
  <c r="E214" i="1"/>
  <c r="F214" i="1" s="1"/>
  <c r="DM213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DM212" i="1" s="1"/>
  <c r="CM212" i="1"/>
  <c r="BF212" i="1"/>
  <c r="E211" i="1"/>
  <c r="F211" i="1" s="1"/>
  <c r="DM210" i="1"/>
  <c r="BF209" i="1"/>
  <c r="DM209" i="1" s="1"/>
  <c r="E208" i="1"/>
  <c r="F208" i="1" s="1"/>
  <c r="DM207" i="1"/>
  <c r="CN206" i="1"/>
  <c r="CM206" i="1"/>
  <c r="BF206" i="1"/>
  <c r="DM206" i="1" s="1"/>
  <c r="E205" i="1"/>
  <c r="F205" i="1" s="1"/>
  <c r="DM204" i="1"/>
  <c r="DB203" i="1"/>
  <c r="DA203" i="1"/>
  <c r="BF203" i="1"/>
  <c r="DM203" i="1" s="1"/>
  <c r="E202" i="1"/>
  <c r="F202" i="1" s="1"/>
  <c r="DM201" i="1"/>
  <c r="CR200" i="1"/>
  <c r="CQ200" i="1"/>
  <c r="BF200" i="1"/>
  <c r="DM200" i="1" s="1"/>
  <c r="E199" i="1"/>
  <c r="F199" i="1" s="1"/>
  <c r="DM198" i="1"/>
  <c r="CS197" i="1"/>
  <c r="CR197" i="1"/>
  <c r="BF197" i="1"/>
  <c r="DM197" i="1" s="1"/>
  <c r="E196" i="1"/>
  <c r="F196" i="1" s="1"/>
  <c r="DM195" i="1"/>
  <c r="CQ194" i="1"/>
  <c r="CP194" i="1"/>
  <c r="CO194" i="1"/>
  <c r="DM194" i="1" s="1"/>
  <c r="BF194" i="1"/>
  <c r="F193" i="1"/>
  <c r="E193" i="1"/>
  <c r="DM192" i="1"/>
  <c r="CN191" i="1"/>
  <c r="CM191" i="1"/>
  <c r="DM191" i="1" s="1"/>
  <c r="BK191" i="1"/>
  <c r="BH191" i="1"/>
  <c r="BF191" i="1"/>
  <c r="E190" i="1"/>
  <c r="F190" i="1" s="1"/>
  <c r="DM189" i="1"/>
  <c r="DM188" i="1"/>
  <c r="CL188" i="1"/>
  <c r="CK188" i="1"/>
  <c r="E187" i="1"/>
  <c r="F187" i="1" s="1"/>
  <c r="DM186" i="1"/>
  <c r="CV185" i="1"/>
  <c r="DM185" i="1" s="1"/>
  <c r="CU185" i="1"/>
  <c r="CT185" i="1"/>
  <c r="CS185" i="1"/>
  <c r="BF185" i="1"/>
  <c r="E184" i="1"/>
  <c r="F184" i="1" s="1"/>
  <c r="DM183" i="1"/>
  <c r="DM182" i="1"/>
  <c r="F181" i="1"/>
  <c r="E181" i="1"/>
  <c r="DM180" i="1"/>
  <c r="CO178" i="1"/>
  <c r="CN178" i="1"/>
  <c r="DM178" i="1" s="1"/>
  <c r="E177" i="1"/>
  <c r="F177" i="1" s="1"/>
  <c r="DM176" i="1"/>
  <c r="CO175" i="1"/>
  <c r="CN175" i="1"/>
  <c r="DM175" i="1" s="1"/>
  <c r="F174" i="1"/>
  <c r="E174" i="1"/>
  <c r="DM173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BF172" i="1"/>
  <c r="F171" i="1"/>
  <c r="E171" i="1"/>
  <c r="DM170" i="1"/>
  <c r="BF169" i="1"/>
  <c r="DM169" i="1" s="1"/>
  <c r="E168" i="1"/>
  <c r="F168" i="1" s="1"/>
  <c r="DM167" i="1"/>
  <c r="CN166" i="1"/>
  <c r="CM166" i="1"/>
  <c r="BF166" i="1"/>
  <c r="DM166" i="1" s="1"/>
  <c r="E165" i="1"/>
  <c r="F165" i="1" s="1"/>
  <c r="DM164" i="1"/>
  <c r="DB163" i="1"/>
  <c r="DA163" i="1"/>
  <c r="BF163" i="1"/>
  <c r="DM163" i="1" s="1"/>
  <c r="E162" i="1"/>
  <c r="F162" i="1" s="1"/>
  <c r="DM161" i="1"/>
  <c r="CR160" i="1"/>
  <c r="CQ160" i="1"/>
  <c r="BF160" i="1"/>
  <c r="DM160" i="1" s="1"/>
  <c r="E159" i="1"/>
  <c r="F159" i="1" s="1"/>
  <c r="DM158" i="1"/>
  <c r="CS157" i="1"/>
  <c r="CR157" i="1"/>
  <c r="BF157" i="1"/>
  <c r="DM157" i="1" s="1"/>
  <c r="E156" i="1"/>
  <c r="F156" i="1" s="1"/>
  <c r="DM155" i="1"/>
  <c r="CQ154" i="1"/>
  <c r="CP154" i="1"/>
  <c r="CO154" i="1"/>
  <c r="BF154" i="1"/>
  <c r="DM154" i="1" s="1"/>
  <c r="F153" i="1"/>
  <c r="E153" i="1"/>
  <c r="DM152" i="1"/>
  <c r="CN151" i="1"/>
  <c r="CM151" i="1"/>
  <c r="BK151" i="1"/>
  <c r="BH151" i="1"/>
  <c r="BF151" i="1"/>
  <c r="DM151" i="1" s="1"/>
  <c r="E150" i="1"/>
  <c r="F150" i="1" s="1"/>
  <c r="DM149" i="1"/>
  <c r="CL148" i="1"/>
  <c r="CK148" i="1"/>
  <c r="DM148" i="1" s="1"/>
  <c r="E147" i="1"/>
  <c r="F147" i="1" s="1"/>
  <c r="DM146" i="1"/>
  <c r="CV145" i="1"/>
  <c r="CU145" i="1"/>
  <c r="CT145" i="1"/>
  <c r="CS145" i="1"/>
  <c r="DM145" i="1" s="1"/>
  <c r="BF145" i="1"/>
  <c r="F144" i="1"/>
  <c r="E144" i="1"/>
  <c r="DM143" i="1"/>
  <c r="DM142" i="1"/>
  <c r="F141" i="1"/>
  <c r="E141" i="1"/>
  <c r="DM140" i="1"/>
  <c r="DM138" i="1"/>
  <c r="CO138" i="1"/>
  <c r="CN138" i="1"/>
  <c r="E137" i="1"/>
  <c r="F137" i="1" s="1"/>
  <c r="DM136" i="1"/>
  <c r="CO135" i="1"/>
  <c r="CN135" i="1"/>
  <c r="DM135" i="1" s="1"/>
  <c r="E134" i="1"/>
  <c r="F134" i="1" s="1"/>
  <c r="DM133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BF132" i="1"/>
  <c r="DM132" i="1" s="1"/>
  <c r="E131" i="1"/>
  <c r="F131" i="1" s="1"/>
  <c r="DM130" i="1"/>
  <c r="BH129" i="1"/>
  <c r="BF129" i="1"/>
  <c r="DM129" i="1" s="1"/>
  <c r="E128" i="1"/>
  <c r="F128" i="1" s="1"/>
  <c r="DM127" i="1"/>
  <c r="DM126" i="1"/>
  <c r="CN126" i="1"/>
  <c r="CM126" i="1"/>
  <c r="BF126" i="1"/>
  <c r="E125" i="1"/>
  <c r="F125" i="1" s="1"/>
  <c r="DM124" i="1"/>
  <c r="DM123" i="1"/>
  <c r="DB123" i="1"/>
  <c r="DA123" i="1"/>
  <c r="BF123" i="1"/>
  <c r="E122" i="1"/>
  <c r="F122" i="1" s="1"/>
  <c r="DM121" i="1"/>
  <c r="DM120" i="1"/>
  <c r="CR120" i="1"/>
  <c r="CQ120" i="1"/>
  <c r="BF120" i="1"/>
  <c r="E119" i="1"/>
  <c r="F119" i="1" s="1"/>
  <c r="DM118" i="1"/>
  <c r="DM117" i="1"/>
  <c r="CS117" i="1"/>
  <c r="CR117" i="1"/>
  <c r="BF117" i="1"/>
  <c r="E116" i="1"/>
  <c r="F116" i="1" s="1"/>
  <c r="DM115" i="1"/>
  <c r="DM114" i="1"/>
  <c r="CQ114" i="1"/>
  <c r="CP114" i="1"/>
  <c r="CO114" i="1"/>
  <c r="BF114" i="1"/>
  <c r="E113" i="1"/>
  <c r="F113" i="1" s="1"/>
  <c r="DM112" i="1"/>
  <c r="CN111" i="1"/>
  <c r="CM111" i="1"/>
  <c r="BK111" i="1"/>
  <c r="BH111" i="1"/>
  <c r="BF111" i="1"/>
  <c r="DM111" i="1" s="1"/>
  <c r="F110" i="1"/>
  <c r="E110" i="1"/>
  <c r="DM109" i="1"/>
  <c r="DM108" i="1"/>
  <c r="CL108" i="1"/>
  <c r="CK108" i="1"/>
  <c r="F107" i="1"/>
  <c r="E107" i="1"/>
  <c r="DM106" i="1"/>
  <c r="CV105" i="1"/>
  <c r="CU105" i="1"/>
  <c r="CT105" i="1"/>
  <c r="CS105" i="1"/>
  <c r="BF105" i="1"/>
  <c r="DM105" i="1" s="1"/>
  <c r="E104" i="1"/>
  <c r="F104" i="1" s="1"/>
  <c r="DM103" i="1"/>
  <c r="DM102" i="1"/>
  <c r="E101" i="1"/>
  <c r="F101" i="1" s="1"/>
  <c r="DM100" i="1"/>
  <c r="CO98" i="1"/>
  <c r="CN98" i="1"/>
  <c r="DM98" i="1" s="1"/>
  <c r="E97" i="1"/>
  <c r="F97" i="1" s="1"/>
  <c r="DM96" i="1"/>
  <c r="DM95" i="1"/>
  <c r="CO95" i="1"/>
  <c r="CN95" i="1"/>
  <c r="E94" i="1"/>
  <c r="F94" i="1" s="1"/>
  <c r="DM93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DM92" i="1" s="1"/>
  <c r="BF92" i="1"/>
  <c r="F91" i="1"/>
  <c r="E91" i="1"/>
  <c r="DM90" i="1"/>
  <c r="BF89" i="1"/>
  <c r="DM89" i="1" s="1"/>
  <c r="E88" i="1"/>
  <c r="F88" i="1" s="1"/>
  <c r="DM87" i="1"/>
  <c r="CN86" i="1"/>
  <c r="CM86" i="1"/>
  <c r="BF86" i="1"/>
  <c r="DM86" i="1" s="1"/>
  <c r="E85" i="1"/>
  <c r="F85" i="1" s="1"/>
  <c r="DM84" i="1"/>
  <c r="DB83" i="1"/>
  <c r="DA83" i="1"/>
  <c r="BF83" i="1"/>
  <c r="DM83" i="1" s="1"/>
  <c r="F82" i="1"/>
  <c r="E82" i="1"/>
  <c r="DM81" i="1"/>
  <c r="CR80" i="1"/>
  <c r="CQ80" i="1"/>
  <c r="BF80" i="1"/>
  <c r="DM80" i="1" s="1"/>
  <c r="F79" i="1"/>
  <c r="E79" i="1"/>
  <c r="DM78" i="1"/>
  <c r="CS77" i="1"/>
  <c r="CR77" i="1"/>
  <c r="BF77" i="1"/>
  <c r="DM77" i="1" s="1"/>
  <c r="F76" i="1"/>
  <c r="E76" i="1"/>
  <c r="DM75" i="1"/>
  <c r="CQ74" i="1"/>
  <c r="CP74" i="1"/>
  <c r="CO74" i="1"/>
  <c r="BF74" i="1"/>
  <c r="DM74" i="1" s="1"/>
  <c r="E73" i="1"/>
  <c r="F73" i="1" s="1"/>
  <c r="DM72" i="1"/>
  <c r="CN71" i="1"/>
  <c r="CM71" i="1"/>
  <c r="BK71" i="1"/>
  <c r="BF71" i="1"/>
  <c r="F70" i="1"/>
  <c r="E70" i="1"/>
  <c r="DM69" i="1"/>
  <c r="CL68" i="1"/>
  <c r="CK68" i="1"/>
  <c r="E67" i="1"/>
  <c r="F67" i="1" s="1"/>
  <c r="DM66" i="1"/>
  <c r="CV65" i="1"/>
  <c r="CU65" i="1"/>
  <c r="CT65" i="1"/>
  <c r="DM65" i="1" s="1"/>
  <c r="CS65" i="1"/>
  <c r="BF65" i="1"/>
  <c r="E64" i="1"/>
  <c r="F64" i="1" s="1"/>
  <c r="DM63" i="1"/>
  <c r="DM62" i="1"/>
  <c r="F61" i="1"/>
  <c r="E61" i="1"/>
  <c r="DM60" i="1"/>
  <c r="CO58" i="1"/>
  <c r="CN58" i="1"/>
  <c r="DM58" i="1" s="1"/>
  <c r="F57" i="1"/>
  <c r="E57" i="1"/>
  <c r="DM56" i="1"/>
  <c r="DM55" i="1"/>
  <c r="CO55" i="1"/>
  <c r="CN55" i="1"/>
  <c r="E54" i="1"/>
  <c r="F54" i="1" s="1"/>
  <c r="DM53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BF52" i="1"/>
  <c r="DM52" i="1" s="1"/>
  <c r="E51" i="1"/>
  <c r="F51" i="1" s="1"/>
  <c r="DM50" i="1"/>
  <c r="BF49" i="1"/>
  <c r="DM49" i="1" s="1"/>
  <c r="E48" i="1"/>
  <c r="F48" i="1" s="1"/>
  <c r="DM47" i="1"/>
  <c r="CN46" i="1"/>
  <c r="DM46" i="1" s="1"/>
  <c r="CM46" i="1"/>
  <c r="BF46" i="1"/>
  <c r="E45" i="1"/>
  <c r="F45" i="1" s="1"/>
  <c r="DM44" i="1"/>
  <c r="DM43" i="1"/>
  <c r="DB43" i="1"/>
  <c r="DA43" i="1"/>
  <c r="BF43" i="1"/>
  <c r="E42" i="1"/>
  <c r="F42" i="1" s="1"/>
  <c r="DM41" i="1"/>
  <c r="DM40" i="1"/>
  <c r="CR40" i="1"/>
  <c r="CQ40" i="1"/>
  <c r="BF40" i="1"/>
  <c r="E39" i="1"/>
  <c r="F39" i="1" s="1"/>
  <c r="DM38" i="1"/>
  <c r="CS37" i="1"/>
  <c r="DM37" i="1" s="1"/>
  <c r="CR37" i="1"/>
  <c r="BF37" i="1"/>
  <c r="E36" i="1"/>
  <c r="F36" i="1" s="1"/>
  <c r="DM35" i="1"/>
  <c r="CQ34" i="1"/>
  <c r="DM34" i="1" s="1"/>
  <c r="CP34" i="1"/>
  <c r="CO34" i="1"/>
  <c r="BF34" i="1"/>
  <c r="E33" i="1"/>
  <c r="F33" i="1" s="1"/>
  <c r="DM32" i="1"/>
  <c r="DM31" i="1"/>
  <c r="CN31" i="1"/>
  <c r="CM31" i="1"/>
  <c r="BK31" i="1"/>
  <c r="BF31" i="1"/>
  <c r="E30" i="1"/>
  <c r="F30" i="1" s="1"/>
  <c r="DM29" i="1"/>
  <c r="CL28" i="1"/>
  <c r="CK28" i="1"/>
  <c r="DM28" i="1" s="1"/>
  <c r="E27" i="1"/>
  <c r="F27" i="1" s="1"/>
  <c r="DM26" i="1"/>
  <c r="DM25" i="1"/>
  <c r="CV25" i="1"/>
  <c r="CU25" i="1"/>
  <c r="CT25" i="1"/>
  <c r="CS25" i="1"/>
  <c r="BF25" i="1"/>
  <c r="E24" i="1"/>
  <c r="F24" i="1" s="1"/>
  <c r="DM23" i="1"/>
  <c r="DM22" i="1"/>
  <c r="E21" i="1"/>
  <c r="F21" i="1" s="1"/>
  <c r="DM20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DM18" i="1" s="1"/>
  <c r="CQ18" i="1"/>
  <c r="CP18" i="1"/>
  <c r="CO18" i="1"/>
  <c r="CN18" i="1"/>
  <c r="BF18" i="1"/>
  <c r="E17" i="1"/>
  <c r="F17" i="1" s="1"/>
  <c r="DM16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BF14" i="1"/>
  <c r="F13" i="1"/>
  <c r="E13" i="1"/>
  <c r="DM12" i="1"/>
  <c r="G24" i="1" l="1"/>
  <c r="G137" i="1"/>
  <c r="G202" i="1"/>
  <c r="G1036" i="1"/>
  <c r="G488" i="1"/>
  <c r="G1290" i="1"/>
  <c r="DM14" i="1"/>
  <c r="DM172" i="1"/>
  <c r="G208" i="1"/>
  <c r="G279" i="1"/>
  <c r="G94" i="1"/>
  <c r="G119" i="1"/>
  <c r="G263" i="1"/>
  <c r="G312" i="1"/>
  <c r="G624" i="1"/>
  <c r="G671" i="1"/>
  <c r="G1566" i="1"/>
  <c r="G17" i="1"/>
  <c r="G1229" i="1"/>
  <c r="G122" i="1"/>
  <c r="G162" i="1"/>
  <c r="G214" i="1"/>
  <c r="G587" i="1"/>
  <c r="G646" i="1"/>
  <c r="DM71" i="1"/>
  <c r="G168" i="1"/>
  <c r="G177" i="1"/>
  <c r="G454" i="1"/>
  <c r="G545" i="1"/>
  <c r="G1315" i="1"/>
  <c r="G1321" i="1"/>
  <c r="F1631" i="1"/>
  <c r="A1" i="1" s="1"/>
  <c r="G54" i="1" s="1"/>
  <c r="G128" i="1"/>
  <c r="G159" i="1"/>
  <c r="G205" i="1"/>
  <c r="DM249" i="1"/>
  <c r="G328" i="1"/>
  <c r="G388" i="1"/>
  <c r="G432" i="1"/>
  <c r="G373" i="1"/>
  <c r="G529" i="1"/>
  <c r="G875" i="1"/>
  <c r="G48" i="1"/>
  <c r="G64" i="1"/>
  <c r="DM68" i="1"/>
  <c r="G242" i="1"/>
  <c r="G266" i="1"/>
  <c r="G288" i="1"/>
  <c r="G519" i="1"/>
  <c r="DM601" i="1"/>
  <c r="G628" i="1"/>
  <c r="DM846" i="1"/>
  <c r="G1275" i="1"/>
  <c r="G33" i="1"/>
  <c r="G125" i="1"/>
  <c r="DM227" i="1"/>
  <c r="G276" i="1"/>
  <c r="G282" i="1"/>
  <c r="G294" i="1"/>
  <c r="G788" i="1"/>
  <c r="G940" i="1"/>
  <c r="G1153" i="1"/>
  <c r="DM351" i="1"/>
  <c r="G541" i="1"/>
  <c r="G557" i="1"/>
  <c r="G593" i="1"/>
  <c r="G1226" i="1"/>
  <c r="G1266" i="1"/>
  <c r="G1333" i="1"/>
  <c r="G1048" i="1"/>
  <c r="G1172" i="1"/>
  <c r="G1478" i="1"/>
  <c r="G776" i="1"/>
  <c r="G782" i="1"/>
  <c r="G806" i="1"/>
  <c r="G1535" i="1"/>
  <c r="G1597" i="1"/>
  <c r="G316" i="1"/>
  <c r="DM371" i="1"/>
  <c r="DM424" i="1"/>
  <c r="DM446" i="1"/>
  <c r="G465" i="1"/>
  <c r="G510" i="1"/>
  <c r="DM542" i="1"/>
  <c r="G965" i="1"/>
  <c r="G1086" i="1"/>
  <c r="G1099" i="1"/>
  <c r="G554" i="1"/>
  <c r="G603" i="1"/>
  <c r="G809" i="1"/>
  <c r="DM343" i="1"/>
  <c r="G360" i="1"/>
  <c r="G457" i="1"/>
  <c r="DM533" i="1"/>
  <c r="G854" i="1"/>
  <c r="G891" i="1"/>
  <c r="DM917" i="1"/>
  <c r="G1263" i="1"/>
  <c r="G1324" i="1"/>
  <c r="G1469" i="1"/>
  <c r="DM361" i="1"/>
  <c r="DM466" i="1"/>
  <c r="G674" i="1"/>
  <c r="G764" i="1"/>
  <c r="DM892" i="1"/>
  <c r="G937" i="1"/>
  <c r="G1058" i="1"/>
  <c r="G1403" i="1"/>
  <c r="G749" i="1"/>
  <c r="G800" i="1"/>
  <c r="G1187" i="1"/>
  <c r="DM367" i="1"/>
  <c r="DM479" i="1"/>
  <c r="DM498" i="1"/>
  <c r="DM504" i="1"/>
  <c r="G516" i="1"/>
  <c r="G640" i="1"/>
  <c r="G655" i="1"/>
  <c r="DM870" i="1"/>
  <c r="G551" i="1"/>
  <c r="G694" i="1"/>
  <c r="G752" i="1"/>
  <c r="DM882" i="1"/>
  <c r="G900" i="1"/>
  <c r="G1042" i="1"/>
  <c r="G1126" i="1"/>
  <c r="DM489" i="1"/>
  <c r="G513" i="1"/>
  <c r="DM520" i="1"/>
  <c r="G743" i="1"/>
  <c r="G767" i="1"/>
  <c r="DM833" i="1"/>
  <c r="DM1309" i="1"/>
  <c r="G1366" i="1"/>
  <c r="G1492" i="1"/>
  <c r="DM527" i="1"/>
  <c r="G572" i="1"/>
  <c r="G685" i="1"/>
  <c r="G718" i="1"/>
  <c r="G1061" i="1"/>
  <c r="G1336" i="1"/>
  <c r="G1357" i="1"/>
  <c r="DM1521" i="1"/>
  <c r="G621" i="1"/>
  <c r="G652" i="1"/>
  <c r="G755" i="1"/>
  <c r="DM807" i="1"/>
  <c r="DM873" i="1"/>
  <c r="G928" i="1"/>
  <c r="G1014" i="1"/>
  <c r="G1092" i="1"/>
  <c r="G1475" i="1"/>
  <c r="G1489" i="1"/>
  <c r="G1625" i="1"/>
  <c r="G1579" i="1"/>
  <c r="G1600" i="1"/>
  <c r="G1029" i="1"/>
  <c r="G1205" i="1"/>
  <c r="DM1215" i="1"/>
  <c r="G1220" i="1"/>
  <c r="G1369" i="1"/>
  <c r="G1591" i="1"/>
  <c r="G1616" i="1"/>
  <c r="G1434" i="1"/>
  <c r="G1554" i="1"/>
  <c r="G1560" i="1"/>
  <c r="DM1592" i="1"/>
  <c r="G1532" i="1"/>
  <c r="DM1577" i="1"/>
  <c r="G1613" i="1"/>
  <c r="DM1090" i="1"/>
  <c r="DM1422" i="1"/>
  <c r="G1495" i="1"/>
  <c r="DM1545" i="1"/>
  <c r="G1573" i="1"/>
  <c r="G1385" i="1" l="1"/>
  <c r="G894" i="1"/>
  <c r="G1397" i="1"/>
  <c r="G1147" i="1"/>
  <c r="G770" i="1"/>
  <c r="G1260" i="1"/>
  <c r="G196" i="1"/>
  <c r="G322" i="1"/>
  <c r="G116" i="1"/>
  <c r="G407" i="1"/>
  <c r="G478" i="1"/>
  <c r="G1199" i="1"/>
  <c r="G257" i="1"/>
  <c r="G156" i="1"/>
  <c r="G1287" i="1"/>
  <c r="G1330" i="1"/>
  <c r="G1162" i="1"/>
  <c r="G1379" i="1"/>
  <c r="G1437" i="1"/>
  <c r="G903" i="1"/>
  <c r="G503" i="1"/>
  <c r="G986" i="1"/>
  <c r="G500" i="1"/>
  <c r="G962" i="1"/>
  <c r="G665" i="1"/>
  <c r="G1302" i="1"/>
  <c r="G848" i="1"/>
  <c r="G1400" i="1"/>
  <c r="G597" i="1"/>
  <c r="G472" i="1"/>
  <c r="G866" i="1"/>
  <c r="G1008" i="1"/>
  <c r="G785" i="1"/>
  <c r="G306" i="1"/>
  <c r="G1507" i="1"/>
  <c r="G820" i="1"/>
  <c r="G435" i="1"/>
  <c r="G881" i="1"/>
  <c r="G637" i="1"/>
  <c r="G535" i="1"/>
  <c r="G1129" i="1"/>
  <c r="G688" i="1"/>
  <c r="G238" i="1"/>
  <c r="G860" i="1"/>
  <c r="G475" i="1"/>
  <c r="G144" i="1"/>
  <c r="G229" i="1"/>
  <c r="G1348" i="1"/>
  <c r="G67" i="1"/>
  <c r="G956" i="1"/>
  <c r="G376" i="1"/>
  <c r="G417" i="1"/>
  <c r="G70" i="1"/>
  <c r="G737" i="1"/>
  <c r="G992" i="1"/>
  <c r="G469" i="1"/>
  <c r="G251" i="1"/>
  <c r="G659" i="1"/>
  <c r="G153" i="1"/>
  <c r="G391" i="1"/>
  <c r="G97" i="1"/>
  <c r="G414" i="1"/>
  <c r="G1431" i="1"/>
  <c r="G1345" i="1"/>
  <c r="G1526" i="1"/>
  <c r="G925" i="1"/>
  <c r="G538" i="1"/>
  <c r="G1001" i="1"/>
  <c r="G727" i="1"/>
  <c r="G1360" i="1"/>
  <c r="G1538" i="1"/>
  <c r="G606" i="1"/>
  <c r="G700" i="1"/>
  <c r="G734" i="1"/>
  <c r="G491" i="1"/>
  <c r="G260" i="1"/>
  <c r="G497" i="1"/>
  <c r="G45" i="1"/>
  <c r="G1076" i="1"/>
  <c r="G101" i="1"/>
  <c r="G150" i="1"/>
  <c r="G1141" i="1"/>
  <c r="G584" i="1"/>
  <c r="G1020" i="1"/>
  <c r="G448" i="1"/>
  <c r="G1269" i="1"/>
  <c r="G1588" i="1"/>
  <c r="G1196" i="1"/>
  <c r="G1311" i="1"/>
  <c r="G1095" i="1"/>
  <c r="G1296" i="1"/>
  <c r="G1305" i="1"/>
  <c r="G980" i="1"/>
  <c r="G1619" i="1"/>
  <c r="G931" i="1"/>
  <c r="G563" i="1"/>
  <c r="G1211" i="1"/>
  <c r="G832" i="1"/>
  <c r="G968" i="1"/>
  <c r="G590" i="1"/>
  <c r="G285" i="1"/>
  <c r="G441" i="1"/>
  <c r="G839" i="1"/>
  <c r="G1193" i="1"/>
  <c r="G989" i="1"/>
  <c r="G758" i="1"/>
  <c r="G1067" i="1"/>
  <c r="G1284" i="1"/>
  <c r="G773" i="1"/>
  <c r="G872" i="1"/>
  <c r="G612" i="1"/>
  <c r="G494" i="1"/>
  <c r="G885" i="1"/>
  <c r="G297" i="1"/>
  <c r="G649" i="1"/>
  <c r="G451" i="1"/>
  <c r="G134" i="1"/>
  <c r="G181" i="1"/>
  <c r="G922" i="1"/>
  <c r="G232" i="1"/>
  <c r="G193" i="1"/>
  <c r="G888" i="1"/>
  <c r="G366" i="1"/>
  <c r="G39" i="1"/>
  <c r="G325" i="1"/>
  <c r="G1241" i="1"/>
  <c r="G370" i="1"/>
  <c r="G916" i="1"/>
  <c r="G461" i="1"/>
  <c r="G235" i="1"/>
  <c r="G575" i="1"/>
  <c r="G42" i="1"/>
  <c r="G350" i="1"/>
  <c r="G30" i="1"/>
  <c r="G141" i="1"/>
  <c r="G1169" i="1"/>
  <c r="G1585" i="1"/>
  <c r="G1159" i="1"/>
  <c r="G1272" i="1"/>
  <c r="G1054" i="1"/>
  <c r="G1166" i="1"/>
  <c r="G1299" i="1"/>
  <c r="G1504" i="1"/>
  <c r="G947" i="1"/>
  <c r="G1569" i="1"/>
  <c r="G913" i="1"/>
  <c r="G560" i="1"/>
  <c r="G1138" i="1"/>
  <c r="G829" i="1"/>
  <c r="G950" i="1"/>
  <c r="G566" i="1"/>
  <c r="G1622" i="1"/>
  <c r="G1453" i="1"/>
  <c r="G791" i="1"/>
  <c r="G1628" i="1"/>
  <c r="G977" i="1"/>
  <c r="G731" i="1"/>
  <c r="G1004" i="1"/>
  <c r="G1278" i="1"/>
  <c r="G740" i="1"/>
  <c r="G869" i="1"/>
  <c r="G438" i="1"/>
  <c r="G420" i="1"/>
  <c r="G842" i="1"/>
  <c r="G269" i="1"/>
  <c r="G382" i="1"/>
  <c r="G217" i="1"/>
  <c r="G706" i="1"/>
  <c r="G401" i="1"/>
  <c r="G113" i="1"/>
  <c r="G131" i="1"/>
  <c r="G532" i="1"/>
  <c r="G226" i="1"/>
  <c r="G190" i="1"/>
  <c r="G851" i="1"/>
  <c r="G346" i="1"/>
  <c r="G27" i="1"/>
  <c r="G291" i="1"/>
  <c r="G429" i="1"/>
  <c r="G254" i="1"/>
  <c r="G863" i="1"/>
  <c r="G445" i="1"/>
  <c r="G220" i="1"/>
  <c r="G481" i="1"/>
  <c r="G319" i="1"/>
  <c r="G147" i="1"/>
  <c r="G85" i="1"/>
  <c r="G1150" i="1"/>
  <c r="G1181" i="1"/>
  <c r="G1457" i="1"/>
  <c r="G1032" i="1"/>
  <c r="G404" i="1"/>
  <c r="G1184" i="1"/>
  <c r="G813" i="1"/>
  <c r="G1513" i="1"/>
  <c r="G934" i="1"/>
  <c r="G36" i="1"/>
  <c r="G13" i="1"/>
  <c r="G1576" i="1"/>
  <c r="G974" i="1"/>
  <c r="G1238" i="1"/>
  <c r="G1045" i="1"/>
  <c r="G1105" i="1"/>
  <c r="G1114" i="1"/>
  <c r="G797" i="1"/>
  <c r="G1388" i="1"/>
  <c r="G816" i="1"/>
  <c r="G1563" i="1"/>
  <c r="G897" i="1"/>
  <c r="G526" i="1"/>
  <c r="G1132" i="1"/>
  <c r="G794" i="1"/>
  <c r="G906" i="1"/>
  <c r="G548" i="1"/>
  <c r="G1594" i="1"/>
  <c r="G1450" i="1"/>
  <c r="G779" i="1"/>
  <c r="G1481" i="1"/>
  <c r="G953" i="1"/>
  <c r="G643" i="1"/>
  <c r="G878" i="1"/>
  <c r="G1223" i="1"/>
  <c r="G703" i="1"/>
  <c r="G342" i="1"/>
  <c r="G857" i="1"/>
  <c r="G394" i="1"/>
  <c r="G1440" i="1"/>
  <c r="G712" i="1"/>
  <c r="G1245" i="1"/>
  <c r="G363" i="1"/>
  <c r="G165" i="1"/>
  <c r="G668" i="1"/>
  <c r="G309" i="1"/>
  <c r="G91" i="1"/>
  <c r="G51" i="1"/>
  <c r="G522" i="1"/>
  <c r="G211" i="1"/>
  <c r="G21" i="1"/>
  <c r="G721" i="1"/>
  <c r="G303" i="1"/>
  <c r="G803" i="1"/>
  <c r="G245" i="1"/>
  <c r="G423" i="1"/>
  <c r="G107" i="1"/>
  <c r="G823" i="1"/>
  <c r="G411" i="1"/>
  <c r="G199" i="1"/>
  <c r="G397" i="1"/>
  <c r="G1501" i="1"/>
  <c r="G1604" i="1"/>
  <c r="G484" i="1"/>
  <c r="G1548" i="1"/>
  <c r="G1523" i="1"/>
  <c r="G1421" i="1"/>
  <c r="G1409" i="1"/>
  <c r="G1391" i="1"/>
  <c r="G1308" i="1"/>
  <c r="G1232" i="1"/>
  <c r="G1217" i="1"/>
  <c r="G1178" i="1"/>
  <c r="G1144" i="1"/>
  <c r="G1120" i="1"/>
  <c r="G1080" i="1"/>
  <c r="G1463" i="1"/>
  <c r="G1428" i="1"/>
  <c r="G1354" i="1"/>
  <c r="G1342" i="1"/>
  <c r="G1251" i="1"/>
  <c r="G1235" i="1"/>
  <c r="G1064" i="1"/>
  <c r="G998" i="1"/>
  <c r="G1610" i="1"/>
  <c r="G1607" i="1"/>
  <c r="G1551" i="1"/>
  <c r="G1529" i="1"/>
  <c r="G1510" i="1"/>
  <c r="G1498" i="1"/>
  <c r="G1486" i="1"/>
  <c r="G1472" i="1"/>
  <c r="G1466" i="1"/>
  <c r="G1412" i="1"/>
  <c r="G1394" i="1"/>
  <c r="G1382" i="1"/>
  <c r="G1318" i="1"/>
  <c r="G1257" i="1"/>
  <c r="G1254" i="1"/>
  <c r="G1135" i="1"/>
  <c r="G1123" i="1"/>
  <c r="G1111" i="1"/>
  <c r="G1108" i="1"/>
  <c r="G1083" i="1"/>
  <c r="G1073" i="1"/>
  <c r="G1017" i="1"/>
  <c r="G1351" i="1"/>
  <c r="G1327" i="1"/>
  <c r="G1293" i="1"/>
  <c r="G1248" i="1"/>
  <c r="G1051" i="1"/>
  <c r="G1026" i="1"/>
  <c r="G995" i="1"/>
  <c r="G680" i="1"/>
  <c r="G618" i="1"/>
  <c r="G615" i="1"/>
  <c r="G1544" i="1"/>
  <c r="G1424" i="1"/>
  <c r="G1089" i="1"/>
  <c r="G634" i="1"/>
  <c r="G1406" i="1"/>
  <c r="G1190" i="1"/>
  <c r="G959" i="1"/>
  <c r="G1460" i="1"/>
  <c r="G1281" i="1"/>
  <c r="G983" i="1"/>
  <c r="G1582" i="1"/>
  <c r="G1363" i="1"/>
  <c r="G1339" i="1"/>
  <c r="G1214" i="1"/>
  <c r="G1517" i="1"/>
  <c r="G1039" i="1"/>
  <c r="G826" i="1"/>
  <c r="G662" i="1"/>
  <c r="G631" i="1"/>
  <c r="G1175" i="1"/>
  <c r="G1156" i="1"/>
  <c r="G1102" i="1"/>
  <c r="G1541" i="1"/>
  <c r="G1446" i="1"/>
  <c r="G1376" i="1"/>
  <c r="G835" i="1"/>
  <c r="G1520" i="1"/>
  <c r="G715" i="1"/>
  <c r="G507" i="1"/>
  <c r="G1418" i="1"/>
  <c r="G1372" i="1"/>
  <c r="G1070" i="1"/>
  <c r="G1557" i="1"/>
  <c r="G746" i="1"/>
  <c r="G724" i="1"/>
  <c r="G697" i="1"/>
  <c r="G609" i="1"/>
  <c r="G578" i="1"/>
  <c r="G356" i="1"/>
  <c r="G331" i="1"/>
  <c r="G691" i="1"/>
  <c r="G677" i="1"/>
  <c r="G581" i="1"/>
  <c r="G1443" i="1"/>
  <c r="G1011" i="1"/>
  <c r="G971" i="1"/>
  <c r="G910" i="1"/>
  <c r="G919" i="1"/>
  <c r="G600" i="1"/>
  <c r="G300" i="1"/>
  <c r="G272" i="1"/>
  <c r="G110" i="1"/>
  <c r="G79" i="1"/>
  <c r="G426" i="1"/>
  <c r="G82" i="1"/>
  <c r="G338" i="1"/>
  <c r="G171" i="1"/>
  <c r="G76" i="1"/>
  <c r="G1117" i="1"/>
  <c r="G385" i="1"/>
  <c r="G57" i="1"/>
  <c r="G845" i="1"/>
  <c r="G104" i="1"/>
  <c r="G944" i="1"/>
  <c r="G1202" i="1"/>
  <c r="G1023" i="1"/>
  <c r="G61" i="1"/>
  <c r="G174" i="1"/>
  <c r="G569" i="1"/>
  <c r="G184" i="1"/>
  <c r="G761" i="1"/>
  <c r="G223" i="1"/>
  <c r="G353" i="1"/>
  <c r="G73" i="1"/>
  <c r="G709" i="1"/>
  <c r="G334" i="1"/>
  <c r="G187" i="1"/>
  <c r="G379" i="1"/>
  <c r="G1415" i="1"/>
  <c r="G1208" i="1"/>
  <c r="G88" i="1"/>
  <c r="G248" i="1"/>
  <c r="G1631" i="1" l="1"/>
</calcChain>
</file>

<file path=xl/sharedStrings.xml><?xml version="1.0" encoding="utf-8"?>
<sst xmlns="http://schemas.openxmlformats.org/spreadsheetml/2006/main" count="1800" uniqueCount="1291">
  <si>
    <t>Markup:</t>
  </si>
  <si>
    <t>Obra: Recosteos AGT (PB8 Jul-25)</t>
  </si>
  <si>
    <t>Plan de Trabajos en CANTIDADES</t>
  </si>
  <si>
    <t>Plan:6 - PT 2025-09-30 - Para SIPO</t>
  </si>
  <si>
    <t>Código</t>
  </si>
  <si>
    <t>Descripción</t>
  </si>
  <si>
    <t>Unidad</t>
  </si>
  <si>
    <t>Cantidad</t>
  </si>
  <si>
    <t>Costo</t>
  </si>
  <si>
    <t>Total</t>
  </si>
  <si>
    <t>Inc. %</t>
  </si>
  <si>
    <t>Período 1</t>
  </si>
  <si>
    <t>Período 2</t>
  </si>
  <si>
    <t>Período 3</t>
  </si>
  <si>
    <t>Período 4</t>
  </si>
  <si>
    <t>Período 5</t>
  </si>
  <si>
    <t>Período 6</t>
  </si>
  <si>
    <t>Período 7</t>
  </si>
  <si>
    <t>Período 8</t>
  </si>
  <si>
    <t>Período 9</t>
  </si>
  <si>
    <t>Período 10</t>
  </si>
  <si>
    <t>Período 11</t>
  </si>
  <si>
    <t>Período 12</t>
  </si>
  <si>
    <t>Período 13</t>
  </si>
  <si>
    <t>Período 14</t>
  </si>
  <si>
    <t>Período 15</t>
  </si>
  <si>
    <t>Período 16</t>
  </si>
  <si>
    <t>Período 17</t>
  </si>
  <si>
    <t>Período 18</t>
  </si>
  <si>
    <t>Período 19</t>
  </si>
  <si>
    <t>Período 20</t>
  </si>
  <si>
    <t>Período 21</t>
  </si>
  <si>
    <t>Período 22</t>
  </si>
  <si>
    <t>Período 23</t>
  </si>
  <si>
    <t>Período 24</t>
  </si>
  <si>
    <t>Período 25</t>
  </si>
  <si>
    <t>Período 26</t>
  </si>
  <si>
    <t>Período 27</t>
  </si>
  <si>
    <t>Período 28</t>
  </si>
  <si>
    <t>Período 29</t>
  </si>
  <si>
    <t>Período 30</t>
  </si>
  <si>
    <t>Período 31</t>
  </si>
  <si>
    <t>Período 32</t>
  </si>
  <si>
    <t>Período 33</t>
  </si>
  <si>
    <t>Período 34</t>
  </si>
  <si>
    <t>Período 35</t>
  </si>
  <si>
    <t>Período 36</t>
  </si>
  <si>
    <t>Período 37</t>
  </si>
  <si>
    <t>Período 38</t>
  </si>
  <si>
    <t>Período 39</t>
  </si>
  <si>
    <t>Período 40</t>
  </si>
  <si>
    <t>Período 41</t>
  </si>
  <si>
    <t>Período 42</t>
  </si>
  <si>
    <t>Período 43</t>
  </si>
  <si>
    <t>Período 44</t>
  </si>
  <si>
    <t>Período 45</t>
  </si>
  <si>
    <t>Período 46</t>
  </si>
  <si>
    <t>Período 47</t>
  </si>
  <si>
    <t>Período 48</t>
  </si>
  <si>
    <t>Período 49</t>
  </si>
  <si>
    <t>Período 50</t>
  </si>
  <si>
    <t>Período 51</t>
  </si>
  <si>
    <t>Período 52</t>
  </si>
  <si>
    <t>Período 53</t>
  </si>
  <si>
    <t>Período 54</t>
  </si>
  <si>
    <t>Período 55</t>
  </si>
  <si>
    <t>Período 56</t>
  </si>
  <si>
    <t>Período 57</t>
  </si>
  <si>
    <t>Período 58</t>
  </si>
  <si>
    <t>Período 59</t>
  </si>
  <si>
    <t>Período 60</t>
  </si>
  <si>
    <t>Período 61</t>
  </si>
  <si>
    <t>Período 62</t>
  </si>
  <si>
    <t>Período 63</t>
  </si>
  <si>
    <t>Período 64</t>
  </si>
  <si>
    <t>Período 65</t>
  </si>
  <si>
    <t>Período 66</t>
  </si>
  <si>
    <t>Período 67</t>
  </si>
  <si>
    <t>Período 68</t>
  </si>
  <si>
    <t>Período 69</t>
  </si>
  <si>
    <t>Período 70</t>
  </si>
  <si>
    <t>Período 71</t>
  </si>
  <si>
    <t>Período 72</t>
  </si>
  <si>
    <t>Período 73</t>
  </si>
  <si>
    <t>Período 74</t>
  </si>
  <si>
    <t>Período 75</t>
  </si>
  <si>
    <t>Período 76</t>
  </si>
  <si>
    <t>Período 77</t>
  </si>
  <si>
    <t>Período 78</t>
  </si>
  <si>
    <t>Período 79</t>
  </si>
  <si>
    <t>Período 80</t>
  </si>
  <si>
    <t>Período 81</t>
  </si>
  <si>
    <t>Período 82</t>
  </si>
  <si>
    <t>Período 83</t>
  </si>
  <si>
    <t>Período 84</t>
  </si>
  <si>
    <t>Período 85</t>
  </si>
  <si>
    <t>Período 86</t>
  </si>
  <si>
    <t>Período 87</t>
  </si>
  <si>
    <t>Período 88</t>
  </si>
  <si>
    <t>Período 89</t>
  </si>
  <si>
    <t>Período 90</t>
  </si>
  <si>
    <t>Período 91</t>
  </si>
  <si>
    <t>Período 92</t>
  </si>
  <si>
    <t>Período 93</t>
  </si>
  <si>
    <t>Período 94</t>
  </si>
  <si>
    <t>Período 95</t>
  </si>
  <si>
    <t>Período 96</t>
  </si>
  <si>
    <t>Período 97</t>
  </si>
  <si>
    <t>Período 98</t>
  </si>
  <si>
    <t>Período 99</t>
  </si>
  <si>
    <t>Período 100</t>
  </si>
  <si>
    <t>Período 101</t>
  </si>
  <si>
    <t>Período 102</t>
  </si>
  <si>
    <t>Período 103</t>
  </si>
  <si>
    <t>Período 104</t>
  </si>
  <si>
    <t>Período 105</t>
  </si>
  <si>
    <t>Período 106</t>
  </si>
  <si>
    <t>Período 107</t>
  </si>
  <si>
    <t>Período 108</t>
  </si>
  <si>
    <t>Período 109</t>
  </si>
  <si>
    <t>100-000-000000000</t>
  </si>
  <si>
    <t>RUBRO A - ACUEDUCTOS</t>
  </si>
  <si>
    <t>101-000-000000000</t>
  </si>
  <si>
    <t>Sub- Rubro A.1. - Instalación de Acueductos PEAD (</t>
  </si>
  <si>
    <t>101-010-000000000</t>
  </si>
  <si>
    <t xml:space="preserve">A.1.1. - Limpieza y Replanteo </t>
  </si>
  <si>
    <t>m</t>
  </si>
  <si>
    <t>101-020-000000000</t>
  </si>
  <si>
    <t>A.1.2. - Rotura de Calzada</t>
  </si>
  <si>
    <t>101-020-000000001</t>
  </si>
  <si>
    <t xml:space="preserve">A.1.2. - Rotura de Calzada </t>
  </si>
  <si>
    <t>101-030-000000000</t>
  </si>
  <si>
    <t xml:space="preserve">A.1.3. - Excavación de zanjas para instalación de </t>
  </si>
  <si>
    <t>101-030-000000001</t>
  </si>
  <si>
    <t>A.1.3. - Exc de zanjas para inst - Gran San Juan 1 cañerías - PEAD Diam 1400-old</t>
  </si>
  <si>
    <t>m³</t>
  </si>
  <si>
    <t>101-030-000000002</t>
  </si>
  <si>
    <t>A.1.3. - Exc de zanjas para inst - Ullum cañerías</t>
  </si>
  <si>
    <t>101-030-000000003</t>
  </si>
  <si>
    <t>A.1.3. - Exc de zanjas para inst - Zonda cañerías</t>
  </si>
  <si>
    <t>101-030-000000004</t>
  </si>
  <si>
    <t>A.1.3.- Exc de zanjas para inst - Sierras Azules 2 cañerías</t>
  </si>
  <si>
    <t>101-030-000000005</t>
  </si>
  <si>
    <t>A.1.3. - Exc de zanjas para inst - Marquesado cañerías</t>
  </si>
  <si>
    <t>101-030-000000006</t>
  </si>
  <si>
    <t>A.1.3. - Exc de zanjas para inst - Rawson Pocito cañerías</t>
  </si>
  <si>
    <t>101-030-000000007</t>
  </si>
  <si>
    <t>A.1.3. - Exc de zanjas para inst - La Bebida Norte cañerías</t>
  </si>
  <si>
    <t>101-030-000000008</t>
  </si>
  <si>
    <t>A.1.3. - Exc de zanjas para inst - La Bebida Sur cañerías</t>
  </si>
  <si>
    <t>101-030-000000009</t>
  </si>
  <si>
    <t>A.1.3. - Exc de zanjas para inst - Jose I. de La R cañerías</t>
  </si>
  <si>
    <t>101-030-000000010</t>
  </si>
  <si>
    <t>A.1.3. - Exc de zanjas para inst - Colector Cloaca cañerías</t>
  </si>
  <si>
    <t>101-030-000000011</t>
  </si>
  <si>
    <t>A.1.3. - Exc de zanjas para inst - Gran San Juan 2 cañerías - PEAD Diam 1300</t>
  </si>
  <si>
    <t>101-030-000000012</t>
  </si>
  <si>
    <t>A.1.3.- Exc de zanjas para inst - Sierras Azules 1 cañerías - NUEVO</t>
  </si>
  <si>
    <t>101-030-000000014</t>
  </si>
  <si>
    <t>A.1.3. - Exc de zanjas para inst - Gran San Juan 1 cañerías - PEAD Diam 700</t>
  </si>
  <si>
    <t>101-040-000000000</t>
  </si>
  <si>
    <t>A.1.4. - Ejecución de Cama de Asiento</t>
  </si>
  <si>
    <t>101-040-000000001</t>
  </si>
  <si>
    <t>A.1.4. - Ejec Cama de Asiento - Gran San Juan 1 - PEAD Diam 1400-old</t>
  </si>
  <si>
    <t>101-040-000000002</t>
  </si>
  <si>
    <t xml:space="preserve">A.1.4. - Ejec Cama de Asiento - Ullum </t>
  </si>
  <si>
    <t>101-040-000000003</t>
  </si>
  <si>
    <t xml:space="preserve">A.1.4. - Ejec Cama de Asiento - Zonda </t>
  </si>
  <si>
    <t>101-040-000000004</t>
  </si>
  <si>
    <t xml:space="preserve">A.1.4.- Ejec Cama de Asiento - Sierras Azules 2 </t>
  </si>
  <si>
    <t>101-040-000000005</t>
  </si>
  <si>
    <t xml:space="preserve">A.1.4. - Ejec Cama de Asiento - Marquesado </t>
  </si>
  <si>
    <t>101-040-000000006</t>
  </si>
  <si>
    <t xml:space="preserve">A.1.4. - Ejec Cama de Asiento - Rawson Pocito </t>
  </si>
  <si>
    <t>101-040-000000007</t>
  </si>
  <si>
    <t xml:space="preserve">A.1.4. - Ejec Cama de Asiento - La Bebida Norte </t>
  </si>
  <si>
    <t>101-040-000000008</t>
  </si>
  <si>
    <t xml:space="preserve">A.1.4. - Ejec Cama de Asiento - La Bebida Sur </t>
  </si>
  <si>
    <t>101-040-000000009</t>
  </si>
  <si>
    <t xml:space="preserve">A.1.4. - Ejec Cama de Asiento - Jose I. de La Roza </t>
  </si>
  <si>
    <t>101-040-000000010</t>
  </si>
  <si>
    <t xml:space="preserve">A.1.4. - Ejec Cama de Asiento - Colector Cloacal </t>
  </si>
  <si>
    <t>101-040-000000011</t>
  </si>
  <si>
    <t>A.1.4. - Ejec Cama de Asiento - Gran San Juan 2 - PEAD Diam 1300</t>
  </si>
  <si>
    <t>101-040-000000012</t>
  </si>
  <si>
    <t>A.1.4. - Ejec Cama de Asiento - Sierras Azules 1 - NUEVO</t>
  </si>
  <si>
    <t>101-040-000000014</t>
  </si>
  <si>
    <t>A.1.4. - Ejec Cama de Asiento - Gran San Juan 1 - PEAD Diam 700</t>
  </si>
  <si>
    <t>101-050-000000000</t>
  </si>
  <si>
    <t>A.1.5. - Colocación de Cañería PEAD</t>
  </si>
  <si>
    <t>101-050-000000001</t>
  </si>
  <si>
    <t>A.1.5. - Colocación de Cañería - Gran San Juan 1 - PEAD Diam 1400-old</t>
  </si>
  <si>
    <t>101-050-000000002</t>
  </si>
  <si>
    <t xml:space="preserve">A.1.5. - Colocación de Cañería - Ullum </t>
  </si>
  <si>
    <t>101-050-000000003</t>
  </si>
  <si>
    <t xml:space="preserve">A.1.5. - Colocación de Cañería - Zonda </t>
  </si>
  <si>
    <t>101-050-000000004</t>
  </si>
  <si>
    <t xml:space="preserve">A.1.5.- Colocación de Cañería - Sierras Azules 2 </t>
  </si>
  <si>
    <t>101-050-000000005</t>
  </si>
  <si>
    <t xml:space="preserve">A.1.5. - Colocación de Cañería - Marquesado </t>
  </si>
  <si>
    <t>101-050-000000006</t>
  </si>
  <si>
    <t xml:space="preserve">A.1.5. - Colocación de Cañería - Rawson Pocito </t>
  </si>
  <si>
    <t>101-050-000000007</t>
  </si>
  <si>
    <t xml:space="preserve">A.1.5. - Colocación de Cañería - La Bebida Norte </t>
  </si>
  <si>
    <t>101-050-000000008</t>
  </si>
  <si>
    <t xml:space="preserve">A.1.5. - Colocación de Cañería - La Bebida Sur </t>
  </si>
  <si>
    <t>101-050-000000009</t>
  </si>
  <si>
    <t xml:space="preserve">A.1.5. - Colocación de Cañería - Jose I. de La Roz </t>
  </si>
  <si>
    <t>101-050-000000010</t>
  </si>
  <si>
    <t xml:space="preserve">A.1.5. - Colocación de Cañería - Colector Cloacal </t>
  </si>
  <si>
    <t>101-050-000000011</t>
  </si>
  <si>
    <t>A.1.5. - Colocación de Cañería - Gran San Juan 2 - PEAD Diam 1300</t>
  </si>
  <si>
    <t>101-050-000000012</t>
  </si>
  <si>
    <t>A.1.5. - Colocación de Cañería - Sierras Azules 1 - NUEVO</t>
  </si>
  <si>
    <t>101-050-000000014</t>
  </si>
  <si>
    <t>A.1.5. - Colocación de Cañería - Gran San Juan 1 - PEAD Diam 700</t>
  </si>
  <si>
    <t>101-060-000000000</t>
  </si>
  <si>
    <t>A.1.6. - Ejecución de Paquete Estructural</t>
  </si>
  <si>
    <t>101-060-000000001</t>
  </si>
  <si>
    <t>A.1.6.- Ejec Paquete Estructural - Gran San Juan 1 - PEAD Diam 1400-old</t>
  </si>
  <si>
    <t>101-060-000000002</t>
  </si>
  <si>
    <t xml:space="preserve">A.1.6. - Ejec Paquete Estructural - Ullum </t>
  </si>
  <si>
    <t>101-060-000000003</t>
  </si>
  <si>
    <t xml:space="preserve">A.1.6. - Ejec Paquete Estructural - Zonda </t>
  </si>
  <si>
    <t>101-060-000000004</t>
  </si>
  <si>
    <t xml:space="preserve">A.1.6.-Ejec Paquete Estructural - Sierras Azules 2 </t>
  </si>
  <si>
    <t>101-060-000000005</t>
  </si>
  <si>
    <t xml:space="preserve">A.1.6. - Ejec Paquete Estructural - Marquesado </t>
  </si>
  <si>
    <t>101-060-000000006</t>
  </si>
  <si>
    <t xml:space="preserve">A.1.6. - Ejec Paquete Estructural - Rawson Pocito </t>
  </si>
  <si>
    <t>101-060-000000007</t>
  </si>
  <si>
    <t xml:space="preserve">A.1.6. - Ejec Paquete Estructural - La Bebida Nort </t>
  </si>
  <si>
    <t>101-060-000000008</t>
  </si>
  <si>
    <t xml:space="preserve">A.1.6. - Ejec Paquete Estructural - La Bebida Sur </t>
  </si>
  <si>
    <t>101-060-000000009</t>
  </si>
  <si>
    <t>A.1.6. - Ejec Paquete Estructural - Jose I. de La Roza</t>
  </si>
  <si>
    <t>101-060-000000010</t>
  </si>
  <si>
    <t xml:space="preserve">A.1.6. - Ejec Paquete Estructural - Colector Cloac </t>
  </si>
  <si>
    <t>101-060-000000011</t>
  </si>
  <si>
    <t>A.1.6 -Ejec Paquete Estructural - Gran San Juan 2 - PEAD Diam 1300</t>
  </si>
  <si>
    <t>101-060-000000012</t>
  </si>
  <si>
    <t>A.1.6.-Ejec Paquete Estructural - Sierras Azules 1 - NUEVO</t>
  </si>
  <si>
    <t>101-060-000000014</t>
  </si>
  <si>
    <t>A.1.6.- Ejec Paquete Estructural - Gran San Juan 1 - PEAD Diam 700</t>
  </si>
  <si>
    <t>101-070-000000000</t>
  </si>
  <si>
    <t>A.1.7. - Ejecución de Relleno Superior</t>
  </si>
  <si>
    <t>101-070-000000001</t>
  </si>
  <si>
    <t>A.1.7. - Ejec Relleno Superior - Gran San Juan 1 - PEAD Diam 1400-old</t>
  </si>
  <si>
    <t>101-070-000000002</t>
  </si>
  <si>
    <t xml:space="preserve">A.1.7. - Ejec Relleno Superior - Ullum </t>
  </si>
  <si>
    <t>101-070-000000003</t>
  </si>
  <si>
    <t xml:space="preserve">A.1.7. - Ejec Relleno Superior - Zonda </t>
  </si>
  <si>
    <t>101-070-000000004</t>
  </si>
  <si>
    <t xml:space="preserve">A.1.7.-Ejec Relleno Superior - Sierras Azules 2 </t>
  </si>
  <si>
    <t>101-070-000000005</t>
  </si>
  <si>
    <t xml:space="preserve">A.1.7. - Ejec Relleno Superior - Marquesado </t>
  </si>
  <si>
    <t>101-070-000000006</t>
  </si>
  <si>
    <t xml:space="preserve">A.1.7. - Ejec Relleno Superior - Rawson Pocito </t>
  </si>
  <si>
    <t>101-070-000000007</t>
  </si>
  <si>
    <t xml:space="preserve">A.1.7. - Ejec Relleno Superior - La Bebida Norte </t>
  </si>
  <si>
    <t>101-070-000000008</t>
  </si>
  <si>
    <t xml:space="preserve">A.1.7. - Ejec Relleno Superior - La Bebida Sur </t>
  </si>
  <si>
    <t>101-070-000000009</t>
  </si>
  <si>
    <t xml:space="preserve">A.1.7. - Ejec Relleno Superior - Jose I. de La Roz </t>
  </si>
  <si>
    <t>101-070-000000010</t>
  </si>
  <si>
    <t xml:space="preserve">A.1.7. - Ejec Relleno Superior - Colector Cloacal </t>
  </si>
  <si>
    <t>101-070-000000011</t>
  </si>
  <si>
    <t>A.1.7. - Ejec Relleno Superior - Gran San Juan 2 - PEAD Diam 1300</t>
  </si>
  <si>
    <t>101-070-000000012</t>
  </si>
  <si>
    <t>A.1.7.-Ejec Relleno Superior - Sierras Azules 1 - NUEVO</t>
  </si>
  <si>
    <t>101-070-000000014</t>
  </si>
  <si>
    <t>A.1.7. - Ejec Relleno Superior - Gran San Juan 1 - PEAD Diam 700</t>
  </si>
  <si>
    <t>101-080-000000000</t>
  </si>
  <si>
    <t xml:space="preserve">A.1.8. - Ejecución de Sub-Base y Base </t>
  </si>
  <si>
    <t>m2</t>
  </si>
  <si>
    <t>101-090-000000000</t>
  </si>
  <si>
    <t xml:space="preserve">A.1.9. - Restitución de Calzada </t>
  </si>
  <si>
    <t>m²</t>
  </si>
  <si>
    <t>101-100-000000000</t>
  </si>
  <si>
    <t>A.1.10. - Construcción de Cámaras de Válvulas en D esagüe</t>
  </si>
  <si>
    <t>N°</t>
  </si>
  <si>
    <t>101-110-000000000</t>
  </si>
  <si>
    <t>A.1.11. - Construcción de Cámaras de Válvulas de A livio Rápido</t>
  </si>
  <si>
    <t>101-120-000000000</t>
  </si>
  <si>
    <t>A.1.12. - Construcción de Cámaras de Válvulas de A ire de tipo trifuncional de Ø4"</t>
  </si>
  <si>
    <t>101-130-000000000</t>
  </si>
  <si>
    <t xml:space="preserve">A.1.13. - Construcción de Bocas de Registro T-02 </t>
  </si>
  <si>
    <t>101-140-000000000</t>
  </si>
  <si>
    <t xml:space="preserve">A.1.14. - Limpieza Final de Obra </t>
  </si>
  <si>
    <t>101-149-000000000</t>
  </si>
  <si>
    <t>A.1. Items Proyecto Ejecutivo</t>
  </si>
  <si>
    <t>101-150-000000000</t>
  </si>
  <si>
    <t xml:space="preserve">A.1.15. - By pass cámara de derivación </t>
  </si>
  <si>
    <t>101-160-000000000</t>
  </si>
  <si>
    <t xml:space="preserve">A.1.16. - Construcción de Cámaras de Derivación </t>
  </si>
  <si>
    <t>101-170-000000000</t>
  </si>
  <si>
    <t xml:space="preserve">A.1.17. - Rotura de Calzada enripiada </t>
  </si>
  <si>
    <t>101-180-000000000</t>
  </si>
  <si>
    <t>A.1.18. - Proteccion con H° antes de cruce canal C espedes</t>
  </si>
  <si>
    <t>101-190-000000000</t>
  </si>
  <si>
    <t xml:space="preserve">A.1.19. - Cruce canal Cespedes </t>
  </si>
  <si>
    <t>101-200-000000000</t>
  </si>
  <si>
    <t xml:space="preserve">A.1.20. - Cruce canal Pocitos </t>
  </si>
  <si>
    <t>101-210-000000000</t>
  </si>
  <si>
    <t xml:space="preserve">A.1.21. - Cruce de alcantarillas </t>
  </si>
  <si>
    <t>101-220-000000000</t>
  </si>
  <si>
    <t>A.1.22. - Boca de registro BR con pantalla aquieta dora</t>
  </si>
  <si>
    <t>101-230-000000000</t>
  </si>
  <si>
    <t>A.1.23.. - Construcción de Cámara Reguladora en Jo sé Ignacio de la Roza doble</t>
  </si>
  <si>
    <t>101-240-000000000</t>
  </si>
  <si>
    <t>A.1.24.. - Provisión de válvulas y piezas especial es de Cámara Reguladora en J. I. de la Roza doble</t>
  </si>
  <si>
    <t>101-250-000000000</t>
  </si>
  <si>
    <t>A.1.25.. - Losa de Hormigon para protección de cañ o de Valvula de Aire en Acueducto Gran San Juan</t>
  </si>
  <si>
    <t>101-259-000000000</t>
  </si>
  <si>
    <t>A.1. Items Cuadro Modificatorio de Obra CMO3</t>
  </si>
  <si>
    <t>101-260-000000000</t>
  </si>
  <si>
    <t>A.1.26..- Colocacion cañeria PEAD 1300 por termofu sion</t>
  </si>
  <si>
    <t>101-270-000000000</t>
  </si>
  <si>
    <t xml:space="preserve">A.1.27..- Derivacion a Sierras Azules </t>
  </si>
  <si>
    <t>Gl</t>
  </si>
  <si>
    <t>101-280-000000000</t>
  </si>
  <si>
    <t xml:space="preserve">A.1.28..- Anclajes Acueducto Sierras Azules I </t>
  </si>
  <si>
    <t>101-290-000000000</t>
  </si>
  <si>
    <t xml:space="preserve">A.1.29..- Acueducto Marquesado Derivacion calle Ga </t>
  </si>
  <si>
    <t>101-300-000000000</t>
  </si>
  <si>
    <t xml:space="preserve">A.1.30..- Acueducto EPM derivacion Ø 500 </t>
  </si>
  <si>
    <t>101-310-000000000</t>
  </si>
  <si>
    <t xml:space="preserve">A.1.31..- Acueduco Gran Tulum 3 - Valvula Mariposa </t>
  </si>
  <si>
    <t>101-320-000000000</t>
  </si>
  <si>
    <t>A.1.32..- Acueducto Gran Tulum 2 - Derivacion a Va lle Encantado</t>
  </si>
  <si>
    <t>101-330-000000000</t>
  </si>
  <si>
    <t>A.1.33..- Acueducto Gran San Juan 2 - Valvula Mari posa 1.300</t>
  </si>
  <si>
    <t>101-340-000000000</t>
  </si>
  <si>
    <t>A.1.34..- Camaras By Pass y Valvulas Cierre - Marq uesado y EPM</t>
  </si>
  <si>
    <t>101-350-000000000</t>
  </si>
  <si>
    <t xml:space="preserve">A.1.35..- Camaras de Derivacion - Marquesado y EPM </t>
  </si>
  <si>
    <t>101-360-000000000</t>
  </si>
  <si>
    <t xml:space="preserve">A.1.36..- Camaras Reductoras de Presión - Marquesa </t>
  </si>
  <si>
    <t>101-370-000000000</t>
  </si>
  <si>
    <t>A.1.37..- Ejecucion proyectos ejecutivos Gran San Juan 2-Sierras azules 2 - Gran tulum 1 lad Este - Gran San Juan salida planta - Ingreso P. Marquesado</t>
  </si>
  <si>
    <t>101-380-000000000</t>
  </si>
  <si>
    <t xml:space="preserve">A.1.38..- Integridad Operativa Inter-modal </t>
  </si>
  <si>
    <t>Mes</t>
  </si>
  <si>
    <t>101-389-000000000</t>
  </si>
  <si>
    <t>A.1.39. Camaras Caudalimetros 1.200 - 500 y Valvul</t>
  </si>
  <si>
    <t>101-390-000000010</t>
  </si>
  <si>
    <t xml:space="preserve">A.1.39.1..- Excavación para construcción de camara </t>
  </si>
  <si>
    <t>m3</t>
  </si>
  <si>
    <t>101-390-000000020</t>
  </si>
  <si>
    <t xml:space="preserve">A.1.39.2.- Hormigón de limpieza tipo H-25 </t>
  </si>
  <si>
    <t>101-390-000000030</t>
  </si>
  <si>
    <t>A.1.39.3..- Estructura De Hormigón Armado H-25 p/ cámara.</t>
  </si>
  <si>
    <t>101-390-000000040</t>
  </si>
  <si>
    <t>A.1.39.4..- Impermeabilización interior con morter "R y S".</t>
  </si>
  <si>
    <t>101-390-000000050</t>
  </si>
  <si>
    <t xml:space="preserve">A.1.39.5..- Relleno y compactación de sobre anchos </t>
  </si>
  <si>
    <t>101-390-000000060</t>
  </si>
  <si>
    <t xml:space="preserve">A.1.39.6..- Provision de Caudalímetros y Valvulas. </t>
  </si>
  <si>
    <t>101-390-000000070</t>
  </si>
  <si>
    <t>A.1.39.7..- Instalacion de Caudalimetros valvulas y piezas especiales</t>
  </si>
  <si>
    <t>102-000-000000000</t>
  </si>
  <si>
    <t>Sub-Rubro A.2. - Acueducto Gran Tulum</t>
  </si>
  <si>
    <t>102-010-000000000</t>
  </si>
  <si>
    <t xml:space="preserve">A.2.1. - Sala de Cloración </t>
  </si>
  <si>
    <t>Gl (aju</t>
  </si>
  <si>
    <t>102-020-000000000</t>
  </si>
  <si>
    <t>A.2.2. - Instalación de Acueductos Gran Tulum - Se</t>
  </si>
  <si>
    <t>102-020-010000000</t>
  </si>
  <si>
    <t xml:space="preserve">A.2.2.1. - Limpieza y Replanteo </t>
  </si>
  <si>
    <t>102-020-020000000</t>
  </si>
  <si>
    <t>A.2.2.2. - Rotura de Calzada</t>
  </si>
  <si>
    <t>102-020-020000001</t>
  </si>
  <si>
    <t xml:space="preserve">A.2.2.2. - Rotura de Calzada </t>
  </si>
  <si>
    <t>102-020-030000000</t>
  </si>
  <si>
    <t>A.2.2.3. - Excavación de zanjas para instalación d</t>
  </si>
  <si>
    <t>102-020-030000001</t>
  </si>
  <si>
    <t xml:space="preserve">A.2.2.3.-Exc zanjas para inst - Gran Tulum 1 D1600 </t>
  </si>
  <si>
    <t>102-020-030000002</t>
  </si>
  <si>
    <t>A.2.2.3. Exc zanjas para inst - Gran Tulum 2 D1400 e cañerías</t>
  </si>
  <si>
    <t>102-020-030000003</t>
  </si>
  <si>
    <t>A.2.2.3.-Exc zanjas para inst-Gran Tulum SP D1600 e cañerías - SALIDA DE PLANTA</t>
  </si>
  <si>
    <t>102-020-040000000</t>
  </si>
  <si>
    <t>A.2.2.4. - Ejecución de Cama de Asiento</t>
  </si>
  <si>
    <t>102-020-040000001</t>
  </si>
  <si>
    <t xml:space="preserve">A.2.2.4-Ejec Cama de Asiento - Gran Tulum 1 D1600 </t>
  </si>
  <si>
    <t>102-020-040000002</t>
  </si>
  <si>
    <t xml:space="preserve">A.2.2.4.-Ejec Cama de Asiento - Gran Tulum 2 D1400 </t>
  </si>
  <si>
    <t>102-020-040000003</t>
  </si>
  <si>
    <t>A.2.2.4.-Ejec Cama de Asiento-Gran Tulum SP D1600 SALIDA DE PLANTA</t>
  </si>
  <si>
    <t>102-020-050000000</t>
  </si>
  <si>
    <t>A.2.2.5. - Colocación de Cañería en Acero Inoxidab</t>
  </si>
  <si>
    <t>102-020-050000001</t>
  </si>
  <si>
    <t xml:space="preserve">A.2.2.5. Coloc Cañería-Gran Tulum 1 D1600 </t>
  </si>
  <si>
    <t>102-020-050000002</t>
  </si>
  <si>
    <t>A.2.2.5.-Coloc Cañería - Gran Tulum 2 D1400 le</t>
  </si>
  <si>
    <t>102-020-050000003</t>
  </si>
  <si>
    <t>A.2.2.5.-Coloc Cañería-Gran Tulum SP D1600 le - SALIDA DE PLANTA</t>
  </si>
  <si>
    <t>102-020-060000000</t>
  </si>
  <si>
    <t>A.2.2.6. - Construcción de Cámaras de Válvulas de Alivio</t>
  </si>
  <si>
    <t>102-020-070000000</t>
  </si>
  <si>
    <t>A.2.2.7. - Construcción de Cámaras de Válvulas de Aire</t>
  </si>
  <si>
    <t>102-020-080000000</t>
  </si>
  <si>
    <t>A.2.2.8. - Construcción de Cámaras de Válvulas de Limpieza</t>
  </si>
  <si>
    <t>102-020-090000000</t>
  </si>
  <si>
    <t>A.2.2.9. - Construcción de Cámaras para Entrada de Hombre</t>
  </si>
  <si>
    <t>102-020-100000000</t>
  </si>
  <si>
    <t>A.2.2.10. - Construcción de Cámara para Derivación Futura Sector 3</t>
  </si>
  <si>
    <t>102-020-110000000</t>
  </si>
  <si>
    <t>A.2.2.11. - Construcción de Cámara para Futura Amp liación de Pozos</t>
  </si>
  <si>
    <t>102-020-120000000</t>
  </si>
  <si>
    <t>A.2.2.12. - Ensayo de Presión Hidrostática en Tube ría:</t>
  </si>
  <si>
    <t>102-020-130000000</t>
  </si>
  <si>
    <t>A.2.2.13. - Ejecución de Paquete Estructural</t>
  </si>
  <si>
    <t>102-020-130000001</t>
  </si>
  <si>
    <t xml:space="preserve">A.2.2.13.-Ejec Paque Estructural-Gran Tulum1 D1600 </t>
  </si>
  <si>
    <t>102-020-130000002</t>
  </si>
  <si>
    <t xml:space="preserve">A.2.2.13.-Ejec Paque Estructural-Gran Tulum2 D1400 </t>
  </si>
  <si>
    <t>102-020-130000003</t>
  </si>
  <si>
    <t>A.2.2.13.-Ejec PaQ Estructural-Gran Tulum SP D1600 SALIDA DE PLANTA</t>
  </si>
  <si>
    <t>102-020-140000000</t>
  </si>
  <si>
    <t>A.2.2.14. - Ejecución de Relleno Superior</t>
  </si>
  <si>
    <t>102-020-140000001</t>
  </si>
  <si>
    <t xml:space="preserve">A.2.2.14-Ejec Relleno Superior-Gran Tulum 1 D1600 </t>
  </si>
  <si>
    <t>102-020-140000002</t>
  </si>
  <si>
    <t xml:space="preserve">A.2.2.14.-Ejec Relleno Superior-Gran Tulum 2 D1400 </t>
  </si>
  <si>
    <t>102-020-140000003</t>
  </si>
  <si>
    <t>A.2.2.14.-Ejec Relleno SuperiOR-GranTulum SP D1600 SALIDA DE PLANTA</t>
  </si>
  <si>
    <t>102-020-150000000</t>
  </si>
  <si>
    <t xml:space="preserve">A.2.2.15. - Ejecución de Sub-Base y Base </t>
  </si>
  <si>
    <t>102-020-160000000</t>
  </si>
  <si>
    <t xml:space="preserve">A.2.2.16. - Restitución de Carpeta Asfáltica </t>
  </si>
  <si>
    <t>102-020-170000000</t>
  </si>
  <si>
    <t>A.2.2.17. - Protección en Cruce por Canal de Desag üe (Prog. 1+845)</t>
  </si>
  <si>
    <t>102-020-180000000</t>
  </si>
  <si>
    <t>A.2.2.18. - Protección en Cruce por Canal del Este ro (Prog. 6+070)</t>
  </si>
  <si>
    <t>102-020-190000000</t>
  </si>
  <si>
    <t>A.2.2.19. - Protección en Cruce por Canal de Desag üe (Prog. 6+590)</t>
  </si>
  <si>
    <t>102-020-200000000</t>
  </si>
  <si>
    <t>A.2.2.20. - Construcción de Dados (bloques) de Hor migón:</t>
  </si>
  <si>
    <t>102-020-210000000</t>
  </si>
  <si>
    <t xml:space="preserve">A.2.2.21. - Automatismo General </t>
  </si>
  <si>
    <t>102-020-220000000</t>
  </si>
  <si>
    <t xml:space="preserve">A.2.2.22. - Limpieza Final de Obra </t>
  </si>
  <si>
    <t>102-020-229000000</t>
  </si>
  <si>
    <t>A.2.2.  Items Proyecto Ejecutivo</t>
  </si>
  <si>
    <t>102-020-230000000</t>
  </si>
  <si>
    <t xml:space="preserve">A.2.2.23. - Rotura de Calzada enripiada </t>
  </si>
  <si>
    <t>102-020-240000000</t>
  </si>
  <si>
    <t xml:space="preserve">A.2.2.24. - By pass para camaras de valvulas </t>
  </si>
  <si>
    <t>102-020-250000000</t>
  </si>
  <si>
    <t xml:space="preserve">A.2.2.25. - Construcción de cámaras de derivacion </t>
  </si>
  <si>
    <t>102-020-260000000</t>
  </si>
  <si>
    <t>A.2.2.26. - Colocación de Cañería de Acero inoxida ble en Túnel</t>
  </si>
  <si>
    <t>102-020-270000000</t>
  </si>
  <si>
    <t>A.2.2.27. - Cama de asiento y relleno estructural de Recinto para alojar caño de Acero inoxidable en Túnel</t>
  </si>
  <si>
    <t>102-030-000000000</t>
  </si>
  <si>
    <t>A.2.3. - Instalación de Acueductos Gran Tulum - Se</t>
  </si>
  <si>
    <t>102-030-010000000</t>
  </si>
  <si>
    <t xml:space="preserve">A.2.3.1. - Limpieza y Replanteo </t>
  </si>
  <si>
    <t>102-030-020000000</t>
  </si>
  <si>
    <t>A.2.3.2. - Rotura de Calzada</t>
  </si>
  <si>
    <t>102-030-020000001</t>
  </si>
  <si>
    <t xml:space="preserve">A.2.3.2. - Rotura de Calzada </t>
  </si>
  <si>
    <t>102-030-030000000</t>
  </si>
  <si>
    <t>A.2.3.3. - Excavación de zanjas para instalación d</t>
  </si>
  <si>
    <t>102-030-030000001</t>
  </si>
  <si>
    <t>A.2.3.3. - Exc zanjas para inst - Gran Tulum 2 e cañerías</t>
  </si>
  <si>
    <t>102-030-030000002</t>
  </si>
  <si>
    <t>A.2.3.3. - Exc zanjas para inst - Sur 1 e cañerías</t>
  </si>
  <si>
    <t>102-030-030000003</t>
  </si>
  <si>
    <t>A.2.3.3. - Exc zanjas para inst - EPM e cañerías</t>
  </si>
  <si>
    <t>102-030-030000004</t>
  </si>
  <si>
    <t>A.2.3.3. - Exc zanjas para inst - Sur 2 e cañerías</t>
  </si>
  <si>
    <t>102-030-030000005</t>
  </si>
  <si>
    <t>A.2.3.3. - Exc zanjas para inst - Rep Del Libano e cañerías</t>
  </si>
  <si>
    <t>102-030-030000006</t>
  </si>
  <si>
    <t>A.2.3.3. - Exc zanjas para inst - Dr Ortega e cañerías</t>
  </si>
  <si>
    <t>102-030-040000000</t>
  </si>
  <si>
    <t>A.2.3.4. - Ejecución de Cama de Asiento</t>
  </si>
  <si>
    <t>102-030-040000001</t>
  </si>
  <si>
    <t xml:space="preserve">A.2.3.4. - Ejec Cama de Asiento - Gran Tulum 2 </t>
  </si>
  <si>
    <t>102-030-040000002</t>
  </si>
  <si>
    <t xml:space="preserve">A.2.3.4. - Ejec Cama de Asiento - Sur 1 </t>
  </si>
  <si>
    <t>102-030-040000003</t>
  </si>
  <si>
    <t xml:space="preserve">A.2.3.4. - Ejec Cama de Asiento - EPM </t>
  </si>
  <si>
    <t>102-030-040000004</t>
  </si>
  <si>
    <t xml:space="preserve">A.2.3.4. - Ejec Cama de Asiento - Sur 2 </t>
  </si>
  <si>
    <t>102-030-040000005</t>
  </si>
  <si>
    <t xml:space="preserve">A.2.3.4. - Ejec Cama de Asiento - Rep Del Libano </t>
  </si>
  <si>
    <t>102-030-040000006</t>
  </si>
  <si>
    <t xml:space="preserve">A.2.3.4. - Ejec Cama de Asiento - Dr Ortega </t>
  </si>
  <si>
    <t>102-030-050000000</t>
  </si>
  <si>
    <t>A.2.3.5. - Colocación de Cañería</t>
  </si>
  <si>
    <t>102-030-050000001</t>
  </si>
  <si>
    <t xml:space="preserve">A.2.3.5. - Coloc Cañería - Gran Tulum 2 </t>
  </si>
  <si>
    <t>102-030-050000002</t>
  </si>
  <si>
    <t xml:space="preserve">A.2.3.5. - Coloc Cañería - Sur 1 </t>
  </si>
  <si>
    <t>102-030-050000003</t>
  </si>
  <si>
    <t xml:space="preserve">A.2.3.5. - Coloc Cañería - EPM </t>
  </si>
  <si>
    <t>102-030-050000004</t>
  </si>
  <si>
    <t xml:space="preserve">A.2.3.5. - Coloc Cañería - Sur 2 </t>
  </si>
  <si>
    <t>102-030-050000005</t>
  </si>
  <si>
    <t xml:space="preserve">A.2.3.5. - Coloc Cañería - Rep Del Libano </t>
  </si>
  <si>
    <t>102-030-050000006</t>
  </si>
  <si>
    <t xml:space="preserve">A.2.3.5. - Coloc Cañería - Dr Ortega </t>
  </si>
  <si>
    <t>102-030-060000000</t>
  </si>
  <si>
    <t>A.2.3.6. - Ejecución de Paquete Estructural</t>
  </si>
  <si>
    <t>102-030-060000001</t>
  </si>
  <si>
    <t xml:space="preserve">A.2.3.6. - Ejec Paque Estructural - Gran Tulum </t>
  </si>
  <si>
    <t>102-030-060000002</t>
  </si>
  <si>
    <t xml:space="preserve">A.2.3.6. - Ejec Paque Estructural - Sur 1 </t>
  </si>
  <si>
    <t>102-030-060000003</t>
  </si>
  <si>
    <t xml:space="preserve">A.2.3.6. - Ejec Paque Estructural - EPM </t>
  </si>
  <si>
    <t>102-030-060000004</t>
  </si>
  <si>
    <t xml:space="preserve">A.2.3.6. - Ejec Paque Estructural - Sur 2 </t>
  </si>
  <si>
    <t>102-030-060000005</t>
  </si>
  <si>
    <t xml:space="preserve">A.2.3.6. - Ejec Paque Estructural - Rep Del Libano </t>
  </si>
  <si>
    <t>102-030-060000006</t>
  </si>
  <si>
    <t xml:space="preserve">A.2.3.6. - Ejec Paque Estructural - Dr Ortega </t>
  </si>
  <si>
    <t>102-030-070000000</t>
  </si>
  <si>
    <t>A.2.3.7. - Ejecución de Relleno Superior</t>
  </si>
  <si>
    <t>102-030-070000001</t>
  </si>
  <si>
    <t xml:space="preserve">A.2.3.7. - Ejec Relleno Superior - Gran Tulum 2 </t>
  </si>
  <si>
    <t>102-030-070000002</t>
  </si>
  <si>
    <t xml:space="preserve">A.2.3.7. - Ejec Relleno Superior - Sur 1 </t>
  </si>
  <si>
    <t>102-030-070000003</t>
  </si>
  <si>
    <t xml:space="preserve">A.2.3.7. - Ejec Relleno Superior - EPM </t>
  </si>
  <si>
    <t>102-030-070000004</t>
  </si>
  <si>
    <t xml:space="preserve">A.2.3.7. - Ejec Relleno Superior - Sur 2 </t>
  </si>
  <si>
    <t>102-030-070000005</t>
  </si>
  <si>
    <t xml:space="preserve">A.2.3.7. - Ejec Relleno Superior - Rep Del Libano </t>
  </si>
  <si>
    <t>102-030-070000006</t>
  </si>
  <si>
    <t xml:space="preserve">A.2.3.7. - Ejec Relleno Superior - Dr Ortega </t>
  </si>
  <si>
    <t>102-030-080000000</t>
  </si>
  <si>
    <t xml:space="preserve">A.2.3.8. - Ejecución de Sub-Base y Base </t>
  </si>
  <si>
    <t>102-030-090000000</t>
  </si>
  <si>
    <t xml:space="preserve">A.2.3.9. - Restitución de Calzada Asfáltica </t>
  </si>
  <si>
    <t>102-030-100000000</t>
  </si>
  <si>
    <t>A.2.3.10. - Protección en Cruce por Canal Céspedes (Prog. 12+200)</t>
  </si>
  <si>
    <t>102-030-110000000</t>
  </si>
  <si>
    <t>A.2.3.11. - Construcción de Cámara Reguladora a EP M</t>
  </si>
  <si>
    <t>102-030-120000000</t>
  </si>
  <si>
    <t xml:space="preserve">A.2.3.12. - Construcción de Cámara Reguladora Sur </t>
  </si>
  <si>
    <t>102-030-130000000</t>
  </si>
  <si>
    <t>A.2.3.13. - Construcción de Estructura para Desvío de Caudales</t>
  </si>
  <si>
    <t>102-030-140000000</t>
  </si>
  <si>
    <t xml:space="preserve">A.2.3.14. - Construcción de Cámaras de Derivación </t>
  </si>
  <si>
    <t>102-030-150000000</t>
  </si>
  <si>
    <t>A.2.3.15. - Construcción de Cámaras de Válvulas en Desagüe</t>
  </si>
  <si>
    <t>102-030-160000000</t>
  </si>
  <si>
    <t>A.2.3.16. - Construcción de Cámaras de Válvulas de Alivio</t>
  </si>
  <si>
    <t>102-030-170000000</t>
  </si>
  <si>
    <t>A.2.3.17. - Construcción de Cámaras de Válvulas de Aire</t>
  </si>
  <si>
    <t>102-030-180000000</t>
  </si>
  <si>
    <t xml:space="preserve">A.2.3.18. - Limpieza Final de Obra </t>
  </si>
  <si>
    <t>102-030-189000000</t>
  </si>
  <si>
    <t>A.2.3. Items Proyecto Ejecutivo</t>
  </si>
  <si>
    <t>102-030-190000000</t>
  </si>
  <si>
    <t>A.2.3.19. . - Construcción de By Pass en Cámaras d e Derivación y reguladora</t>
  </si>
  <si>
    <t>102-030-200000000</t>
  </si>
  <si>
    <t xml:space="preserve">A.2.3.20. . - Rotura de Calzada enripiada </t>
  </si>
  <si>
    <t>102-030-210000000</t>
  </si>
  <si>
    <t>A.2.3.21. . - Construccion de cámara de empalme Ci sterna EPM - Marquesado - EPM</t>
  </si>
  <si>
    <t>102-030-220000000</t>
  </si>
  <si>
    <t xml:space="preserve">A.2.3.22. - Cruce Canal Pocito </t>
  </si>
  <si>
    <t>102-030-230000000</t>
  </si>
  <si>
    <t>A.2.3.23.. - Construcción de Cámara Reguladora a E PM doble</t>
  </si>
  <si>
    <t>102-030-240000000</t>
  </si>
  <si>
    <t xml:space="preserve">A.2.3.24.. - Provisión de válvulas y piezas especi </t>
  </si>
  <si>
    <t>102-030-250000000</t>
  </si>
  <si>
    <t xml:space="preserve">A.2.3.25.. - Construcción de Cámara Reguladora Sur </t>
  </si>
  <si>
    <t>102-030-260000000</t>
  </si>
  <si>
    <t>A.2.3.26.. - Provisión de válvulas y piezas especi ales de Cámara Reguladora Sur 2</t>
  </si>
  <si>
    <t>102-030-270000000</t>
  </si>
  <si>
    <t>A.2.3.27.. - Construcción de Cámara Reguladora Rep ública de Líbano</t>
  </si>
  <si>
    <t>102-030-280000000</t>
  </si>
  <si>
    <t>A.2.3.28.. - Provisión de válvulas y piezas especi ales de Cámara Reguladora República de Líbano</t>
  </si>
  <si>
    <t>102-040-000000000</t>
  </si>
  <si>
    <t xml:space="preserve"> A.2.4. - Impulsión Cloacal y Colector bajo Canal </t>
  </si>
  <si>
    <t>102-040-010000000</t>
  </si>
  <si>
    <t xml:space="preserve">A.2.4.1. - Limpieza y Replanteo </t>
  </si>
  <si>
    <t>102-040-020000000</t>
  </si>
  <si>
    <t>A.2.4.2. - Excavación de zanjas para instalación d e cañerías</t>
  </si>
  <si>
    <t>102-040-030000000</t>
  </si>
  <si>
    <t xml:space="preserve">A.2.4.3. - Ejecución de Cama de Asiento </t>
  </si>
  <si>
    <t>102-040-040000000</t>
  </si>
  <si>
    <t xml:space="preserve">A.2.4.4. - Colocación de Cañería PVC </t>
  </si>
  <si>
    <t>102-040-050000000</t>
  </si>
  <si>
    <t xml:space="preserve">A.2.4.5. - Ejecución de Paquete Estructural </t>
  </si>
  <si>
    <t>102-040-060000000</t>
  </si>
  <si>
    <t xml:space="preserve">A.2.4.6. - Ejecución de Relleno Superior </t>
  </si>
  <si>
    <t>102-040-070000000</t>
  </si>
  <si>
    <t xml:space="preserve">A.2.4.7. - Ejecución de Sub-Base y Base </t>
  </si>
  <si>
    <t>102-040-080000000</t>
  </si>
  <si>
    <t xml:space="preserve">A.2.4.8. - Construcción de Bocas de Registro T-01 </t>
  </si>
  <si>
    <t>102-040-090000000</t>
  </si>
  <si>
    <t xml:space="preserve">A.2.4.9. - Construcción de Ventilación </t>
  </si>
  <si>
    <t>102-040-100000000</t>
  </si>
  <si>
    <t xml:space="preserve">A.2.4.10. - Limpieza Final de Obra </t>
  </si>
  <si>
    <t>102-040-100000100</t>
  </si>
  <si>
    <t>A.2.4. Items Proyecto Ejecutivo</t>
  </si>
  <si>
    <t>102-040-110000000</t>
  </si>
  <si>
    <t xml:space="preserve">A.2.4.11. - Rotura de calzada pavimentada </t>
  </si>
  <si>
    <t>102-040-120000000</t>
  </si>
  <si>
    <t xml:space="preserve">A.2.4.12. - Rotura de calzada enripiada </t>
  </si>
  <si>
    <t>102-040-130000000</t>
  </si>
  <si>
    <t xml:space="preserve">A.2.4.13. - Reposicion de calzada pavimentada </t>
  </si>
  <si>
    <t>102-040-140000000</t>
  </si>
  <si>
    <t>A.2.4.14. - Diferencia por colocación de tubería P EAD por electrofusión en lugar de PVC con enchufe espiga-campana</t>
  </si>
  <si>
    <t>102-040-150000000</t>
  </si>
  <si>
    <t xml:space="preserve">A.2.4.15. - Cámara de limpieza </t>
  </si>
  <si>
    <t>102-040-160000000</t>
  </si>
  <si>
    <t>A.2.4.16. - Construcción de cámaras de válvulas de aire</t>
  </si>
  <si>
    <t>102-040-170000000</t>
  </si>
  <si>
    <t>A.2.4.17. - Construcción de cruces Canal del Ester o</t>
  </si>
  <si>
    <t>102-040-180000000</t>
  </si>
  <si>
    <t>A.2.4.18. - Instalación en segunda etapa de piezas especiales, válvulas y montaje de las cámaras por falta de provisión de OSSE</t>
  </si>
  <si>
    <t>Un</t>
  </si>
  <si>
    <t>300-000-000000000</t>
  </si>
  <si>
    <t>RUBRO C - ALTERNATIVA ESTABLECIMIENTO POTABILIZADO</t>
  </si>
  <si>
    <t>301-000-000000000</t>
  </si>
  <si>
    <t>Sub-Rubro C.1. - Obra de Toma</t>
  </si>
  <si>
    <t>301-010-000000000</t>
  </si>
  <si>
    <t>C.1.1. - Excavación, compactación de sobreanchos, transporte y desparramo de excedentes de los suelos para construcción de Obra de Toma.</t>
  </si>
  <si>
    <t>301-020-000000000</t>
  </si>
  <si>
    <t xml:space="preserve">C.1.2. - Hormigón Simple de Limpieza Tipo H-25. </t>
  </si>
  <si>
    <t>301-030-000000000</t>
  </si>
  <si>
    <t>C.1.3. - Ejecución de Hormigón Armado Tipo H-25 pa ra estructura de la Cámara.</t>
  </si>
  <si>
    <t>301-040-000000000</t>
  </si>
  <si>
    <t>C.1.4. - Impermeabilización Cementicia con Mortero R y S.</t>
  </si>
  <si>
    <t>301-050-000000000</t>
  </si>
  <si>
    <t>C.1.5. - Rotura y reposición de vereda en zona de obra de toma</t>
  </si>
  <si>
    <t>301-060-000000000</t>
  </si>
  <si>
    <t>C.1.6. - Provisión y montaje de compuertas metálic as planas de (1,00 x 1,00)m.</t>
  </si>
  <si>
    <t>301-070-000000000</t>
  </si>
  <si>
    <t>C.1.7. - Provisión y montaje de rejas metálicas pl anas.</t>
  </si>
  <si>
    <t>301-080-000000000</t>
  </si>
  <si>
    <t>C.1.8. - Excavación para colocación de tuberí as de PEAD.</t>
  </si>
  <si>
    <t>301-090-000000000</t>
  </si>
  <si>
    <t>C.1.9. - Provisión y colocación de material g ranular clasificado para cama de asiento, relleno primario (riñón) y relleno secundario, incluye compactación.</t>
  </si>
  <si>
    <t>301-100-000000000</t>
  </si>
  <si>
    <t>C.1.10. - Provisión y colocación de tuberías d e PEAD - D° 1400 mm.</t>
  </si>
  <si>
    <t>301-110-000000000</t>
  </si>
  <si>
    <t>C.1.11. - Relleno superior y compactación, tra nsporte y desparramo de excedentes.</t>
  </si>
  <si>
    <t>301-120-000000000</t>
  </si>
  <si>
    <t>C.1.12 - Construcción de cámaras de hormigón armado para confluencia y cambios de dirección de los tramos de tubería de PEAD</t>
  </si>
  <si>
    <t>301-130-000000000</t>
  </si>
  <si>
    <t>C.1.13. - Construcción de macizos de hormig ón armado tipo H-20</t>
  </si>
  <si>
    <t>301-140-000000000</t>
  </si>
  <si>
    <t>C.1.14. - Provisión y colocación de tubería de Hierro Dúctil, D° 800 mm., curvas a 45° y válvula de aire de hierro dúctil para construcción de sifón</t>
  </si>
  <si>
    <t>301-150-000000000</t>
  </si>
  <si>
    <t>C.1.15. - Cruce de ruta mediante túnel y enca misado con tubería de acero</t>
  </si>
  <si>
    <t>301-159-000000000</t>
  </si>
  <si>
    <t>C.1. Items Proyecto Ejecutivo</t>
  </si>
  <si>
    <t>301-160-000000000</t>
  </si>
  <si>
    <t xml:space="preserve">C.1.16.. - Retiro de Alambrado olimpico </t>
  </si>
  <si>
    <t>301-170-000000000</t>
  </si>
  <si>
    <t>C.1.17.. - Construcción de cerco de alambrado olím pico</t>
  </si>
  <si>
    <t>301-180-000000000</t>
  </si>
  <si>
    <t>C.1.18.. - Construcción de escaleras de H° acceso de H°</t>
  </si>
  <si>
    <t>301-190-000000000</t>
  </si>
  <si>
    <t>C.1.19.. - Demolición de escalera, conducto de H° canal de riego existente para empalme By Pass</t>
  </si>
  <si>
    <t>301-200-000000000</t>
  </si>
  <si>
    <t>C.1.20.. - Apertura y refuerzo de Canal de Ullum e n sector de obra de toma</t>
  </si>
  <si>
    <t>301-210-000000000</t>
  </si>
  <si>
    <t>C.1.21.. - Rotura y reposición de estructura de ca lzada</t>
  </si>
  <si>
    <t>301-220-000000000</t>
  </si>
  <si>
    <t xml:space="preserve">C.1.22.. - Relleno para fundación de cámara </t>
  </si>
  <si>
    <t>301-230-000000000</t>
  </si>
  <si>
    <t>C.1.23.. - Excavación con entibado para obra de to ma y cámara empalme By Pass</t>
  </si>
  <si>
    <t>301-240-000000000</t>
  </si>
  <si>
    <t>C.1.24.. - Relleno superior y compac, transporte y desparramo de excedentes de excavacion de cámaras.</t>
  </si>
  <si>
    <t>301-250-000000000</t>
  </si>
  <si>
    <t>C.1.25.. - Colocación de tubería y Válvula de acer o inc dados de asiento para By Pass</t>
  </si>
  <si>
    <t>301-260-000000000</t>
  </si>
  <si>
    <t>C.1.26.. - Colocacion caño PEAD diam 600 para dren aje viejo canal de filtros</t>
  </si>
  <si>
    <t>301-270-000000000</t>
  </si>
  <si>
    <t xml:space="preserve">C.1.27.. - Cruce bajo canal de riego </t>
  </si>
  <si>
    <t>301-280-000000000</t>
  </si>
  <si>
    <t>C.1.28.. - Provision y montaje de compuerta metáli ca plana de 1.3*1.60 automatizada</t>
  </si>
  <si>
    <t>301-290-000000000</t>
  </si>
  <si>
    <t>C.1.29.. - Provision y montaje de compuerta metáli cas planas de 1.6*1.60 automatizadas</t>
  </si>
  <si>
    <t>301-300-000000000</t>
  </si>
  <si>
    <t>C.1.30.. - Provisión y colocación de tuberías de P EAD - D° 1500 mm.</t>
  </si>
  <si>
    <t>301-310-000000000</t>
  </si>
  <si>
    <t>C.1.31.. - Provisión y montaje de rejas metálicas planas de limpieza.</t>
  </si>
  <si>
    <t>301-320-000000000</t>
  </si>
  <si>
    <t xml:space="preserve">C.1.32.. - Barandas de protección </t>
  </si>
  <si>
    <t>301-330-000000000</t>
  </si>
  <si>
    <t>C.1.33.. - Escaleras con guarda hombre de protecci ón para cámara toma</t>
  </si>
  <si>
    <t>301-340-000000000</t>
  </si>
  <si>
    <t>C.1.34.. - Rejas para cierre superior incluidas vi gas de marcos</t>
  </si>
  <si>
    <t>301-350-000000000</t>
  </si>
  <si>
    <t>C.1.35.. - Retiro y reconstrucción de pasarela pea tonal</t>
  </si>
  <si>
    <t>301-360-000000000</t>
  </si>
  <si>
    <t>C.1.36.. - Juntas Waterstop para vincular hormigon existente con nuevo</t>
  </si>
  <si>
    <t>301-370-000000000</t>
  </si>
  <si>
    <t xml:space="preserve">C.1.37.. - Valvula de limpieza </t>
  </si>
  <si>
    <t>301-380-000000000</t>
  </si>
  <si>
    <t xml:space="preserve">C.1.38.. - Cámara y Valvula de limpieza </t>
  </si>
  <si>
    <t>301-390-000000000</t>
  </si>
  <si>
    <t xml:space="preserve">C.1.39.. - Cámara y Válvula de aire </t>
  </si>
  <si>
    <t>301-400-000000000</t>
  </si>
  <si>
    <t>C.1.40.. - Provisión y colocación de Caño de Acero al carbono epoxipado</t>
  </si>
  <si>
    <t>301-410-000000000</t>
  </si>
  <si>
    <t>C.1.41.. - Ejecución de H. Armado Tipo H-25 para e structura de la OT hasta 7.5m de altura o profundidad.</t>
  </si>
  <si>
    <t>301-420-000000000</t>
  </si>
  <si>
    <t>C.1.42.. - Ejecución de H. Armado Tipo H-25 prefab ricado para empalme OT - canal de Ullum incluido el montaje.</t>
  </si>
  <si>
    <t>302-000-000000000</t>
  </si>
  <si>
    <t>Sub-Rubro C.2. - Unidades de tratamiento</t>
  </si>
  <si>
    <t>302-010-000000000</t>
  </si>
  <si>
    <t xml:space="preserve">C.2.1. - Limpieza y nivelación del terreno. </t>
  </si>
  <si>
    <t>302-020-000000000</t>
  </si>
  <si>
    <t xml:space="preserve">C.2.2. - Replanteo y balizamiento de las obras. </t>
  </si>
  <si>
    <t>302-030-000000000</t>
  </si>
  <si>
    <t>C.2.3 - Canal de Derivación, Caída y Canaleta</t>
  </si>
  <si>
    <t>302-030-000000010</t>
  </si>
  <si>
    <t xml:space="preserve">C.2.3.1. - Excavación para construcción de canales </t>
  </si>
  <si>
    <t>302-030-000000015</t>
  </si>
  <si>
    <t xml:space="preserve">C.2.3.2. - Terraplén para canal elevado </t>
  </si>
  <si>
    <t>302-030-000000020</t>
  </si>
  <si>
    <t xml:space="preserve">C.2.3.3. - Hormigón Simple de Limpieza Tipo H-25. </t>
  </si>
  <si>
    <t>302-030-000000030</t>
  </si>
  <si>
    <t xml:space="preserve">C.2.3.4. - Hormigón Armado H-25 </t>
  </si>
  <si>
    <t>302-030-000000040</t>
  </si>
  <si>
    <t>C.2.3.5. - Impermeabilización interior con mortero "R y S".</t>
  </si>
  <si>
    <t>302-030-000000050</t>
  </si>
  <si>
    <t xml:space="preserve">C.2.3.6.- Canaleta Parshall </t>
  </si>
  <si>
    <t>un</t>
  </si>
  <si>
    <t>302-040-000000000</t>
  </si>
  <si>
    <t>C.2.4. - Batería de Filtros</t>
  </si>
  <si>
    <t>302-040-000000010</t>
  </si>
  <si>
    <t>C.2.4.1. - Excavación con equipos para fundación d e baterías Filtrantes.</t>
  </si>
  <si>
    <t>302-040-000000020</t>
  </si>
  <si>
    <t xml:space="preserve">C.2.4.2. - Hormigón Simple de Limpieza Tipo H-25. </t>
  </si>
  <si>
    <t>302-040-000000300</t>
  </si>
  <si>
    <t>C.2.4.3. - Hormigón armado H-25 para la construc ción de baterias de filtros</t>
  </si>
  <si>
    <t>302-040-000000320</t>
  </si>
  <si>
    <t>C.2.4.4. - Curado e impermeabilización interior de celdas filtrantes con mortero "R y S" (fondo y paredes laterales)</t>
  </si>
  <si>
    <t>302-040-000000600</t>
  </si>
  <si>
    <t xml:space="preserve">C.2.4.5. - Material granular para manto filtrante. </t>
  </si>
  <si>
    <t>302-040-000000700</t>
  </si>
  <si>
    <t>C.2.4.6. - Barandas de hierro galvanizado para pro tección de circulación en pasarelas exteriores</t>
  </si>
  <si>
    <t>302-040-000000800</t>
  </si>
  <si>
    <t xml:space="preserve">C.2.4.7. - Escaleras </t>
  </si>
  <si>
    <t>302-040-000000810</t>
  </si>
  <si>
    <t xml:space="preserve">C.2.4.8. - Tapas metálicas </t>
  </si>
  <si>
    <t>302-040-000001610</t>
  </si>
  <si>
    <t>C.2.4.9. - Cañería de ingreso a los filtros (incluye Válvulas)</t>
  </si>
  <si>
    <t>302-040-000001620</t>
  </si>
  <si>
    <t>C.2.4.10. - Cañería de recolección de agua filtrad a</t>
  </si>
  <si>
    <t>302-040-000001630</t>
  </si>
  <si>
    <t>C.2.4.11. - Cañería de salida de agua filtrada (in cluye válvulas)</t>
  </si>
  <si>
    <t>302-040-000001640</t>
  </si>
  <si>
    <t>C.2.4.12. - Cañería de lavado de filtros (incluye válvulas)</t>
  </si>
  <si>
    <t>302-040-000001650</t>
  </si>
  <si>
    <t>C.2.4.13. - Cañería de recolección de agua de retr olavado (incluye válvulas)</t>
  </si>
  <si>
    <t>302-040-000001660</t>
  </si>
  <si>
    <t>C.2.4.14. - Cañería de H°D° desde filtros a Tanque Rompecarga.</t>
  </si>
  <si>
    <t>302-040-000001670</t>
  </si>
  <si>
    <t>C.2.4.15. - Cañería de H°D° desde Estación de Bomb eo a Filtros para retrolavado.</t>
  </si>
  <si>
    <t>302-050-000000000</t>
  </si>
  <si>
    <t>C.2.5. - Tanque Rompe Carga</t>
  </si>
  <si>
    <t>302-050-000000010</t>
  </si>
  <si>
    <t>C.2.5.1. - Excavación para Construcción de Tanque Rompe Carga</t>
  </si>
  <si>
    <t>302-050-000000011</t>
  </si>
  <si>
    <t xml:space="preserve">C.2.5.2. - Hormigón Simple de Limpieza Tipo H-25. </t>
  </si>
  <si>
    <t>302-050-000000012</t>
  </si>
  <si>
    <t xml:space="preserve">C.2.5.3. - Hormigón Armado H-25 para estructura </t>
  </si>
  <si>
    <t>302-050-000000013</t>
  </si>
  <si>
    <t>C.2.5.4. - Relleno y compactación de sobreanchos d e excavación</t>
  </si>
  <si>
    <t>302-050-000000014</t>
  </si>
  <si>
    <t>C.2.5.5. - Impermeabilización interior con mortero "R y S"</t>
  </si>
  <si>
    <t>302-050-000000015</t>
  </si>
  <si>
    <t xml:space="preserve">C.2.5.6. - Tapas metalicas </t>
  </si>
  <si>
    <t>ud</t>
  </si>
  <si>
    <t>302-050-000000020</t>
  </si>
  <si>
    <t xml:space="preserve">C.2.5.7. - Cañería de desborde </t>
  </si>
  <si>
    <t>302-050-000000030</t>
  </si>
  <si>
    <t>C.2.5.8. -  Cañería de H°D° desde Tanque rompecarga a  cisterna.</t>
  </si>
  <si>
    <t>302-060-000000000</t>
  </si>
  <si>
    <t>C.2.6. - Cisternas de 20000 m3 cada una</t>
  </si>
  <si>
    <t>302-060-000000010</t>
  </si>
  <si>
    <t>C.2.6.1. - Excavación con equipos mecánicos para construcción de cisternas.</t>
  </si>
  <si>
    <t>302-060-000000011</t>
  </si>
  <si>
    <t xml:space="preserve">C.2.6.2. - Hormigón Simple de Limpieza Tipo H-25. </t>
  </si>
  <si>
    <t>302-060-000000012</t>
  </si>
  <si>
    <t>C.2.6.3. - Estructura de Hormigón Armado H-25 par a estructura de las cisternas.</t>
  </si>
  <si>
    <t>302-060-000000013</t>
  </si>
  <si>
    <t>C.2.6.4. - Relleno y compactación de sobreanchos de excavación.</t>
  </si>
  <si>
    <t>302-060-000000014</t>
  </si>
  <si>
    <t>C.2.6.5. - Impermeabilización Interior Con Morter o "R y S".</t>
  </si>
  <si>
    <t>302-060-000000015</t>
  </si>
  <si>
    <t>C.2.6.6. - Ventilaciones para cisternas en hierro galvanizado 100mm</t>
  </si>
  <si>
    <t>302-060-000000020</t>
  </si>
  <si>
    <t>C.2.6.7. - Construcción cañería de ingreso a Cisterna</t>
  </si>
  <si>
    <t>302-060-000000030</t>
  </si>
  <si>
    <t>C.2.6.8. - Construcción de cañería de salida de cisterna.</t>
  </si>
  <si>
    <t>302-060-000000040</t>
  </si>
  <si>
    <t xml:space="preserve">C.2.6.9. -Construcción cañería de fondo y desborde </t>
  </si>
  <si>
    <t>302-060-000000050</t>
  </si>
  <si>
    <t>C.2.6.10. - Cañería de H°D° salida cisterna hasta cámara de caudalímetro.</t>
  </si>
  <si>
    <t>302-060-000000060</t>
  </si>
  <si>
    <t xml:space="preserve">C.2.6.11. - Tapas y escaleras </t>
  </si>
  <si>
    <t>gl</t>
  </si>
  <si>
    <t>302-070-000000000</t>
  </si>
  <si>
    <t>C.2.7. - Estación de Bombeo para lavado de filtros</t>
  </si>
  <si>
    <t>302-070-000000010</t>
  </si>
  <si>
    <t>C.2.7.1. - Excavación para construcción de estaci ón de bombeo.</t>
  </si>
  <si>
    <t>302-070-000000020</t>
  </si>
  <si>
    <t xml:space="preserve">C.2.7.2. - Hormigón Simple de Limpieza Tipo H-25. </t>
  </si>
  <si>
    <t>302-070-000000030</t>
  </si>
  <si>
    <t>C.2.7.3. - Estructura de Hormigón Armado Tipo H-2 5.</t>
  </si>
  <si>
    <t>302-070-000000040</t>
  </si>
  <si>
    <t>C.2.7.4. - Relleno y compactación de sobreanchos de la excavación.</t>
  </si>
  <si>
    <t>302-070-000000060</t>
  </si>
  <si>
    <t>C.2.7.5. - Piso alisado cementicio rodillado del interior de la cámara de bombeo.</t>
  </si>
  <si>
    <t>302-070-000000065</t>
  </si>
  <si>
    <t xml:space="preserve">C.2.7.6 - Contrapiso armado </t>
  </si>
  <si>
    <t>302-070-000000080</t>
  </si>
  <si>
    <t xml:space="preserve">C.2.7.7. - Revoque exterior texturado </t>
  </si>
  <si>
    <t>302-070-000000090</t>
  </si>
  <si>
    <t xml:space="preserve">C.2.7.8. - Revoque fino a la cal. </t>
  </si>
  <si>
    <t>302-070-000000100</t>
  </si>
  <si>
    <t xml:space="preserve">C.2.7.9. - Cerramientos, puertas y ventiluces. </t>
  </si>
  <si>
    <t>302-070-000000120</t>
  </si>
  <si>
    <t>C.2.7.10. - Macizos de fundación para bombas y da dos de apoyo para múltiple de impulsión.</t>
  </si>
  <si>
    <t>302-070-000000140</t>
  </si>
  <si>
    <t xml:space="preserve">C.2.7.11. - Zocalo cementicio interior. </t>
  </si>
  <si>
    <t>302-070-000000150</t>
  </si>
  <si>
    <t xml:space="preserve">C.2.7.12. - Terminación exterior revoque texturado </t>
  </si>
  <si>
    <t>302-070-000000160</t>
  </si>
  <si>
    <t xml:space="preserve">C.2.7.13. - Zocalo exterior de piedra laja. </t>
  </si>
  <si>
    <t>302-070-000000170</t>
  </si>
  <si>
    <t>C.2.7.14. - Cielorraso de yeso aplicado bajo losa .</t>
  </si>
  <si>
    <t>302-070-000000190</t>
  </si>
  <si>
    <t xml:space="preserve">C.2.7.15. - Pintura interior </t>
  </si>
  <si>
    <t>302-070-000000200</t>
  </si>
  <si>
    <t xml:space="preserve">C.2.7.16 - Vereda perimetral </t>
  </si>
  <si>
    <t>302-070-000000210</t>
  </si>
  <si>
    <t xml:space="preserve">C.2.7.17. Provisión e instalación de Electrobombas </t>
  </si>
  <si>
    <t>302-070-000000220</t>
  </si>
  <si>
    <t xml:space="preserve">C.2.7.18. -  Manifold , accesorios y válvulas. </t>
  </si>
  <si>
    <t>302-070-000000230</t>
  </si>
  <si>
    <t xml:space="preserve">C.2.7.19. -  Monorriel y Polipasto </t>
  </si>
  <si>
    <t>302-070-000000240</t>
  </si>
  <si>
    <t>C.2.7.20 Cañería de H°D° entre acueducto y estació n de bombeo para lavado de filtros.</t>
  </si>
  <si>
    <t>302-070-000000250</t>
  </si>
  <si>
    <t xml:space="preserve">C.2.7.21. - Mamposteria de 0.30m </t>
  </si>
  <si>
    <t>302-080-000000000</t>
  </si>
  <si>
    <t>C.2.8. - Cámara Presurizadora</t>
  </si>
  <si>
    <t>302-080-000000010</t>
  </si>
  <si>
    <t xml:space="preserve">C.2.8.1. - Excavación para Construcción de CP </t>
  </si>
  <si>
    <t>302-080-000000020</t>
  </si>
  <si>
    <t xml:space="preserve">C.2.8.2. - Hormigón Simple de Limpieza Tipo H-25. </t>
  </si>
  <si>
    <t>302-080-000000030</t>
  </si>
  <si>
    <t>C.2.8.3. - Hormigón Armado H-25 para estructura de cámara</t>
  </si>
  <si>
    <t>302-080-000000040</t>
  </si>
  <si>
    <t>C.2.8.4. - Relleno y compactación de sobreanchos d e excavación</t>
  </si>
  <si>
    <t>302-080-000000050</t>
  </si>
  <si>
    <t>C.2.8.5. - Impermeabilización interior con mortero "R y S"</t>
  </si>
  <si>
    <t>302-080-000000080</t>
  </si>
  <si>
    <t xml:space="preserve">C.2.8.6. - Provisión e instalaciónde electrobombas </t>
  </si>
  <si>
    <t>302-080-000000090</t>
  </si>
  <si>
    <t xml:space="preserve">C.2.8.7. -  Manifold , accesorios y válvulas </t>
  </si>
  <si>
    <t>302-080-000000100</t>
  </si>
  <si>
    <t>C.2.8.9. - Cañería de PVC de agua de servicio. ( Casa Química, Filtros , Casa del operador)</t>
  </si>
  <si>
    <t>302-080-000000110</t>
  </si>
  <si>
    <t xml:space="preserve">C.2.8.10. - Tapas y escaleras </t>
  </si>
  <si>
    <t>302-090-000000000</t>
  </si>
  <si>
    <t>C.2.9. - Cámara by-pass</t>
  </si>
  <si>
    <t>302-090-000000010</t>
  </si>
  <si>
    <t>C.2.9.1. - Excavación para construcción de camara.</t>
  </si>
  <si>
    <t>302-090-000000020</t>
  </si>
  <si>
    <t xml:space="preserve">C.2.9.2. - Hormigón de limpieza tipo H-25 </t>
  </si>
  <si>
    <t>302-090-000000030</t>
  </si>
  <si>
    <t>C.2.9.3. - Estructura De Hormigón Armado H-25 para cámara.</t>
  </si>
  <si>
    <t>302-090-000000040</t>
  </si>
  <si>
    <t>C.2.9.4. - Impermeabilización interior con mortero "R y S".</t>
  </si>
  <si>
    <t>302-090-000000050</t>
  </si>
  <si>
    <t xml:space="preserve">C.2.9.5. - Relleno y compactación de sobreanchos </t>
  </si>
  <si>
    <t>302-090-000000060</t>
  </si>
  <si>
    <t xml:space="preserve">C.2.9.6 Cañería H°D° de By pass </t>
  </si>
  <si>
    <t>302-090-000000070</t>
  </si>
  <si>
    <t>C.2.9.7 Cámara de Válvula seccionadors (incluye vá lvula y accesorios)</t>
  </si>
  <si>
    <t>302-100-000000000</t>
  </si>
  <si>
    <t>C.2.10. - Cámara caudalimetro (salida planta)</t>
  </si>
  <si>
    <t>302-100-000000010</t>
  </si>
  <si>
    <t>C.2.10.1. - Excavación para construcción de camara.</t>
  </si>
  <si>
    <t>302-100-000000020</t>
  </si>
  <si>
    <t xml:space="preserve">C.2.10.2. - Hormigón de limpieza tipo H-25 </t>
  </si>
  <si>
    <t>302-100-000000030</t>
  </si>
  <si>
    <t>C.2.10.3. - Estructura De Hormigón Armado H-25 p/ cámara.</t>
  </si>
  <si>
    <t>302-100-000000040</t>
  </si>
  <si>
    <t>C.2.10.4. - Impermeabilización interior con mortero  "R y S".</t>
  </si>
  <si>
    <t>302-100-000000050</t>
  </si>
  <si>
    <t>C.2.10.5. - Relleno y compactación de sobre anchos</t>
  </si>
  <si>
    <t>302-100-000000060</t>
  </si>
  <si>
    <t>C.2.10.6. - Caudalímetro sobre acueducto de salida.</t>
  </si>
  <si>
    <t>302-100-000000070</t>
  </si>
  <si>
    <t xml:space="preserve">C.2.10.7 Tapas y escaleras </t>
  </si>
  <si>
    <t>302-110-000000000</t>
  </si>
  <si>
    <t>C.2.11. - Laguna para lavado de filtros</t>
  </si>
  <si>
    <t>302-110-000000010</t>
  </si>
  <si>
    <t xml:space="preserve">C.2.11.1. - Excavación para construcción laguna </t>
  </si>
  <si>
    <t>302-110-000000020</t>
  </si>
  <si>
    <t xml:space="preserve">C.2.11.2. - Terraplén perimetral para laguna </t>
  </si>
  <si>
    <t>302-110-000000030</t>
  </si>
  <si>
    <t xml:space="preserve">C.2.11.3. - Hormigón de limpieza tipo H-25 </t>
  </si>
  <si>
    <t>302-110-000000040</t>
  </si>
  <si>
    <t>C.2.11.4. - Estructura De Hormigón Armado H-25 par a canal y obra de descarga</t>
  </si>
  <si>
    <t>302-110-000000050</t>
  </si>
  <si>
    <t>C.2.11.5. - Impermeabilización interior con morter o "R y S".</t>
  </si>
  <si>
    <t>302-110-000000060</t>
  </si>
  <si>
    <t xml:space="preserve">C.2.11.6. - Empastado fondo de laguna </t>
  </si>
  <si>
    <t>302-190-000000000</t>
  </si>
  <si>
    <t>C.2.12 - Casilla de Guardia</t>
  </si>
  <si>
    <t>302-190-000000010</t>
  </si>
  <si>
    <t>C.2.12.1. - Excavación para bases de fundación y cimientos, incluido relleno y compactación de sobreanchos</t>
  </si>
  <si>
    <t>302-190-000000020</t>
  </si>
  <si>
    <t>C.2.12.2. - Hormigón simple de limpieza de bases de fundación tipo H-25</t>
  </si>
  <si>
    <t>302-190-000000030</t>
  </si>
  <si>
    <t xml:space="preserve">C.2.12.3. - Hormigón ciclópeo para cimientos </t>
  </si>
  <si>
    <t>302-190-000000040</t>
  </si>
  <si>
    <t>C.2.12.4. - Estructura antisísmica de hormigón a rmado H-25 para bases, columnas, vigas y losas</t>
  </si>
  <si>
    <t>302-190-000000050</t>
  </si>
  <si>
    <t>C.2.12.5. - Mampostería de elevación de ladrillo s comunes de 0,30 m. para muros perimetrales</t>
  </si>
  <si>
    <t>302-190-000000060</t>
  </si>
  <si>
    <t>C.2.12.6. - Muros divisorios interiores de mampo stería de ladrillos comunes de 0,15 m.</t>
  </si>
  <si>
    <t>302-190-000000070</t>
  </si>
  <si>
    <t xml:space="preserve">C.2.12.7. - Revoque rustico interior y exterior </t>
  </si>
  <si>
    <t>302-190-000000080</t>
  </si>
  <si>
    <t xml:space="preserve">C.2.12.8. - Revoque fino a la cal interior </t>
  </si>
  <si>
    <t>302-190-000000090</t>
  </si>
  <si>
    <t xml:space="preserve">C.2.12.9. - Salpicado tipo IGGAM exterior </t>
  </si>
  <si>
    <t>302-190-000000100</t>
  </si>
  <si>
    <t>C.2.12.10. - Relleno y compactación de suelo par a base de asiento de contrapiso</t>
  </si>
  <si>
    <t>302-190-000000110</t>
  </si>
  <si>
    <t>C.2.12.11. - Contrapiso de hormigón simple tipo H-15</t>
  </si>
  <si>
    <t>302-190-000000120</t>
  </si>
  <si>
    <t xml:space="preserve">C.2.12.12. - Piso de cerámico esmaltado </t>
  </si>
  <si>
    <t>302-190-000000130</t>
  </si>
  <si>
    <t xml:space="preserve">C.2.12.13. - Piso de baldosas cerámicas </t>
  </si>
  <si>
    <t>302-190-000000140</t>
  </si>
  <si>
    <t xml:space="preserve">C.2.12.14. - Zócalo exterior de piedra laja </t>
  </si>
  <si>
    <t>302-190-000000150</t>
  </si>
  <si>
    <t>C.2.12.15. - Zócalo interior de cerámicos esmalt ados</t>
  </si>
  <si>
    <t>302-190-000000160</t>
  </si>
  <si>
    <t>C.2.12.16. - Cielorraso de yeso aplicado bajo lo sa</t>
  </si>
  <si>
    <t>302-190-000000170</t>
  </si>
  <si>
    <t>C.2.12.17. - Cubiertas de tejas coloniales con a islación hidrófuga</t>
  </si>
  <si>
    <t>302-190-000000180</t>
  </si>
  <si>
    <t>C.2.12.18. - Pintura interior en muros y cielorr aso</t>
  </si>
  <si>
    <t>302-190-000000190</t>
  </si>
  <si>
    <t xml:space="preserve">C.2.12.19. - Carpintería metálica y de madera </t>
  </si>
  <si>
    <t>302-190-000000200</t>
  </si>
  <si>
    <t xml:space="preserve">C.2.12.20. - Pintura en carpintería metálica </t>
  </si>
  <si>
    <t>302-190-000000210</t>
  </si>
  <si>
    <t>C.2.12.21. - Instalaciones sanitarias para provi sión de agua y desagües</t>
  </si>
  <si>
    <t>302-190-000000220</t>
  </si>
  <si>
    <t>C.2.12.22. - Instalación eléctrica interior para iluminación y fuerza</t>
  </si>
  <si>
    <t>302-200-000000000</t>
  </si>
  <si>
    <t>C.2.13. - Sala de Cloración</t>
  </si>
  <si>
    <t>302-200-000000001</t>
  </si>
  <si>
    <t>C.2.13.1. - Excavación para bases de fundación y cimientos, incluido relleno y compactación de sobreanchos.</t>
  </si>
  <si>
    <t>302-200-000000002</t>
  </si>
  <si>
    <t>C.2.13.2. - Hormigón simple de limpieza de bases de fundación.</t>
  </si>
  <si>
    <t>302-200-000000003</t>
  </si>
  <si>
    <t xml:space="preserve">C.2.13.3. - Hormigón ciclópeo para cimientos. </t>
  </si>
  <si>
    <t>302-200-000000004</t>
  </si>
  <si>
    <t>C.2.13.4. - Estructura antisísmica de hormigón a rmado h-25 para bases, columnas, vigas y losas.</t>
  </si>
  <si>
    <t>302-200-000000005</t>
  </si>
  <si>
    <t>C.2.13.5. - Mampostería de elevación de ladrillo s comunes de 0,30 m.</t>
  </si>
  <si>
    <t>302-200-000000006</t>
  </si>
  <si>
    <t xml:space="preserve">C.2.13.6. - Revoque rustico interior y exterior. </t>
  </si>
  <si>
    <t>302-200-000000007</t>
  </si>
  <si>
    <t>C.2.13.7. - Revoque fino a la cal mandilado inte rior.</t>
  </si>
  <si>
    <t>302-200-000000008</t>
  </si>
  <si>
    <t xml:space="preserve">C.2.13.8. - Salpicado tipo IGGAM exterior </t>
  </si>
  <si>
    <t>302-200-000000009</t>
  </si>
  <si>
    <t>C.2.13.9. - Relleno y compactación de suelo para base de asiento y contrapiso</t>
  </si>
  <si>
    <t>302-200-000000010</t>
  </si>
  <si>
    <t>C.2.13.10. - Contrapiso de hormigón simple tipo H-15</t>
  </si>
  <si>
    <t>302-200-000000011</t>
  </si>
  <si>
    <t>C.2.13.11. - Piso de alisado cementicio rodillad o</t>
  </si>
  <si>
    <t>302-200-000000012</t>
  </si>
  <si>
    <t xml:space="preserve">C.2.13.12. - Piso de baldosas </t>
  </si>
  <si>
    <t>302-200-000000013</t>
  </si>
  <si>
    <t xml:space="preserve">C.2.13.13. - Zócalo exterior de piedra laja </t>
  </si>
  <si>
    <t>302-200-000000014</t>
  </si>
  <si>
    <t xml:space="preserve">C.2.13.14. - Zócalo interior de cerámicos </t>
  </si>
  <si>
    <t>302-200-000000015</t>
  </si>
  <si>
    <t>C.2.13.15. - Cielorraso de yeso aplicado bajo lo sa</t>
  </si>
  <si>
    <t>302-200-000000016</t>
  </si>
  <si>
    <t>C.2.13.16. - Cubierta de tejas coloniales con ai slación hidrófuga</t>
  </si>
  <si>
    <t>302-200-000000017</t>
  </si>
  <si>
    <t>C.2.13.17. - Pintura interior en muros y cielorr aso</t>
  </si>
  <si>
    <t>302-200-000000018</t>
  </si>
  <si>
    <t xml:space="preserve">C.2.13.18. - Carpintería metálica </t>
  </si>
  <si>
    <t>302-200-000000019</t>
  </si>
  <si>
    <t xml:space="preserve">C.2.13.19. - Pintura en carpintería metálica </t>
  </si>
  <si>
    <t>302-200-000000020</t>
  </si>
  <si>
    <t>C.2.13.20. - Instalación eléctrica interior para iluminación y fuerza</t>
  </si>
  <si>
    <t>302-200-000000110</t>
  </si>
  <si>
    <t>C.2.13.21. - Barandas de protección en hierro ga lvanizado</t>
  </si>
  <si>
    <t>302-200-000000115</t>
  </si>
  <si>
    <t>C.2.13.22. - Escalera caracol de laboratorio a s ala de comando</t>
  </si>
  <si>
    <t>302-200-000000140</t>
  </si>
  <si>
    <t>C.2.13.23. - Construcción de cubas circulares de hormigón armado para sulfato de aluminio</t>
  </si>
  <si>
    <t>302-200-000000145</t>
  </si>
  <si>
    <t>C.2.13.24. - Construcción de cubas de hormigón a rmado para polielectrolitos</t>
  </si>
  <si>
    <t>302-200-000000150</t>
  </si>
  <si>
    <t>C.2.13.25. - Revestimiento interior de cubas par a sulfato de aluminio y polielectrolitos</t>
  </si>
  <si>
    <t>302-200-000000155</t>
  </si>
  <si>
    <t>C.2.13.26. - INSTALACIONES SANITARIAS, PROVISIÓN DE AGUA Y DESAGUES</t>
  </si>
  <si>
    <t>302-210-000000000</t>
  </si>
  <si>
    <t>C.2.14. - Casa del Operador, Depósito y Taller</t>
  </si>
  <si>
    <t>302-210-000000010</t>
  </si>
  <si>
    <t>C.2.14.1. - Excavación para bases de fundación y cimientos, incluido relleno y compactación de sobreanchos</t>
  </si>
  <si>
    <t>302-210-000000020</t>
  </si>
  <si>
    <t>C.2.14.2. - Hormigón simple de limpieza para bas e de fundación</t>
  </si>
  <si>
    <t>302-210-000000040</t>
  </si>
  <si>
    <t>C.2.14.3. - Estructura antisísmica de hormigón a rmado h-25 para bases, columnas, pórticos, vigas y losas</t>
  </si>
  <si>
    <t>302-210-000000050</t>
  </si>
  <si>
    <t>C.2.14.4. - Mampostería de elevación de ladrillo s comunes de 0,30 m. Para muros perimetrales</t>
  </si>
  <si>
    <t>302-210-000000060</t>
  </si>
  <si>
    <t>C.2.14.5. - Mampostería de elevación de ladrillo s comunes de 0,15 m.</t>
  </si>
  <si>
    <t>302-210-000000080</t>
  </si>
  <si>
    <t xml:space="preserve">C.2.14.6. - Revoque rustico interior y exterior </t>
  </si>
  <si>
    <t>302-210-000000090</t>
  </si>
  <si>
    <t>C.2.14.7. - Revoque fino interior a la cal mandi lado</t>
  </si>
  <si>
    <t>302-210-000000100</t>
  </si>
  <si>
    <t xml:space="preserve">C.2.14.8. - Salpicado tipo IGGAM exterior </t>
  </si>
  <si>
    <t>302-210-000000110</t>
  </si>
  <si>
    <t>C.2.14.9. - Relleno y compactación de suelo par a base de asiento de contrapiso</t>
  </si>
  <si>
    <t>302-210-000000120</t>
  </si>
  <si>
    <t>C.2.14.10. - Contrapiso de hormigón simple tipo H-15</t>
  </si>
  <si>
    <t>302-210-000000130</t>
  </si>
  <si>
    <t>C.2.14.11. - Piso de alisado cementicio rodillad o</t>
  </si>
  <si>
    <t>302-210-000000140</t>
  </si>
  <si>
    <t xml:space="preserve">C.2.14.12. - Piso de baldosas cerámicas </t>
  </si>
  <si>
    <t>302-210-000000150</t>
  </si>
  <si>
    <t xml:space="preserve">C.2.14.13. - Zócalo interior de cerámicos </t>
  </si>
  <si>
    <t>302-210-000000160</t>
  </si>
  <si>
    <t xml:space="preserve">C.2.14.14. - Zócalo exterior de piedra laja </t>
  </si>
  <si>
    <t>302-210-000000165</t>
  </si>
  <si>
    <t xml:space="preserve">C.2.14.15. - Zócalo interior de cemento alisado </t>
  </si>
  <si>
    <t>302-210-000000170</t>
  </si>
  <si>
    <t>C.2.14.16. - Cielorraso de yeso aplicado bajo lo sa</t>
  </si>
  <si>
    <t>302-210-000000182</t>
  </si>
  <si>
    <t>C.2.14.17. - Cubierta Metalica slación hidrófuga</t>
  </si>
  <si>
    <t>302-210-000000190</t>
  </si>
  <si>
    <t>C.2.14.18. - Pintura interior de muros y cielorr aso</t>
  </si>
  <si>
    <t>302-210-000000200</t>
  </si>
  <si>
    <t>C.2.14.19. - Carpintería metalica y de madera, p uertas, portones corredizos, ventanas y ventiluces</t>
  </si>
  <si>
    <t>302-210-000000210</t>
  </si>
  <si>
    <t>C.2.14.20. - Pintura en carpintería metálica y d e madera</t>
  </si>
  <si>
    <t>302-210-000000220</t>
  </si>
  <si>
    <t xml:space="preserve">C.2.14.21. - Mesada para office y vestuario </t>
  </si>
  <si>
    <t>302-210-000000230</t>
  </si>
  <si>
    <t>C.2.14.22. - Instalaciones sanitarias para la pr ovisión de agua y desagües</t>
  </si>
  <si>
    <t>302-210-000000240</t>
  </si>
  <si>
    <t>C.2.14.23. - Instalación eléctrica interior para iluminación y fuerza</t>
  </si>
  <si>
    <t>302-220-000000000</t>
  </si>
  <si>
    <t>C.2.15. - SET</t>
  </si>
  <si>
    <t>302-220-000000010</t>
  </si>
  <si>
    <t>C.2.15.1. - Excavación para bases de fundación y cimientos, incluido relleno y compactación de sobreanchos.</t>
  </si>
  <si>
    <t>302-220-000000020</t>
  </si>
  <si>
    <t>C.2.15.2. - Hormigón simple de limpieza de bases de fundación.</t>
  </si>
  <si>
    <t>302-220-000000040</t>
  </si>
  <si>
    <t>C.2.15.3. - Estructura antisísmica de hormigón a rmado h-25 para bases, columnas, vigas y losas.</t>
  </si>
  <si>
    <t>302-220-000000050</t>
  </si>
  <si>
    <t>C.2.15.4. - Mampostería de elevación de ladrillo s comunes de 0,30 m.</t>
  </si>
  <si>
    <t>302-220-000000060</t>
  </si>
  <si>
    <t>C.2.15.5. - Mampostería de elevación de ladrillo s huecos cerámicos.</t>
  </si>
  <si>
    <t>302-220-000000070</t>
  </si>
  <si>
    <t xml:space="preserve">C.2.15.6. - Revoque rustico interior y exterior. </t>
  </si>
  <si>
    <t>302-220-000000080</t>
  </si>
  <si>
    <t>C.2.15.7. - Revoque fino a la cal mandilado inte rior.</t>
  </si>
  <si>
    <t>302-220-000000090</t>
  </si>
  <si>
    <t>C.2.15.8. - Paneles acústicos en local de grupo electrógeno</t>
  </si>
  <si>
    <t>302-220-000000100</t>
  </si>
  <si>
    <t xml:space="preserve">C.2.15.9. - Salpicado tipo IGGAM exterior </t>
  </si>
  <si>
    <t>302-220-000000110</t>
  </si>
  <si>
    <t>C.2.15.10. - Relleno y compactación de suelo par a base de asiento y contrapiso</t>
  </si>
  <si>
    <t>302-220-000000120</t>
  </si>
  <si>
    <t>C.2.15.11. - Contrapiso de hormigón simple tipo H-15</t>
  </si>
  <si>
    <t>302-220-000000130</t>
  </si>
  <si>
    <t>C.2.15.12. - Piso de alisado cementicio rodillad o</t>
  </si>
  <si>
    <t>302-220-000000140</t>
  </si>
  <si>
    <t xml:space="preserve">C.2.15.13. - Piso de baldosas </t>
  </si>
  <si>
    <t>302-220-000000150</t>
  </si>
  <si>
    <t xml:space="preserve">C.2.15.14. - Zócalo exterior de piedra laja </t>
  </si>
  <si>
    <t>302-220-000000160</t>
  </si>
  <si>
    <t xml:space="preserve">C.2.15.15. - Zócalo interior de cemento alisado </t>
  </si>
  <si>
    <t>302-220-000000170</t>
  </si>
  <si>
    <t>C.2.15.16. - Cielorraso de yeso aplicado bajo lo sa</t>
  </si>
  <si>
    <t>302-220-000000190</t>
  </si>
  <si>
    <t>C.2.15.17. - Pintura interior en muros y cielorr aso</t>
  </si>
  <si>
    <t>302-220-000000200</t>
  </si>
  <si>
    <t xml:space="preserve">C.2.15.18. - Carpintería metálica </t>
  </si>
  <si>
    <t>302-220-000000210</t>
  </si>
  <si>
    <t xml:space="preserve">C.2.15.19. - Pintura en carpintería metálica </t>
  </si>
  <si>
    <t>302-220-000000220</t>
  </si>
  <si>
    <t>C.2.15.20. - Instalación eléctrica interior para iluminación y fuerza</t>
  </si>
  <si>
    <t>302-230-000000000</t>
  </si>
  <si>
    <t>C.2.16.- Sistema de Cloración</t>
  </si>
  <si>
    <t>302-230-000000010</t>
  </si>
  <si>
    <t xml:space="preserve">C.2.16.1. - Ingeniería de detalle </t>
  </si>
  <si>
    <t>302-230-000000020</t>
  </si>
  <si>
    <t>C.2.16.2. - Provisión y montaje de manifolds de ac ero</t>
  </si>
  <si>
    <t>302-230-000000030</t>
  </si>
  <si>
    <t xml:space="preserve">C.2.16..3. - Provisión y montaje de SWITCH-OVER </t>
  </si>
  <si>
    <t>302-230-000000040</t>
  </si>
  <si>
    <t>C.2.16.4. - Provisión y montaje de lineas de aplic acion</t>
  </si>
  <si>
    <t>302-230-000000050</t>
  </si>
  <si>
    <t>C.2.16.5. - Provisión y montaje de apoyatubos, bal anza y barra de izaje</t>
  </si>
  <si>
    <t>302-230-000000060</t>
  </si>
  <si>
    <t>C.2.16.6. - Provisión y colocación de ventiladores para la sala de cilindros de cloro</t>
  </si>
  <si>
    <t>302-230-000000070</t>
  </si>
  <si>
    <t>C.2.16.7. - Provisión y colocación de ventiladores para la sala de comando</t>
  </si>
  <si>
    <t>302-230-000000080</t>
  </si>
  <si>
    <t>C.2.16.8. - Provisión y montaje de aparejo eléctri co</t>
  </si>
  <si>
    <t>302-230-000000090</t>
  </si>
  <si>
    <t>C.2.16.9. - Provisión de cilindros para cloro de 1 000 kg. De capacidad</t>
  </si>
  <si>
    <t>302-230-000000100</t>
  </si>
  <si>
    <t>C.2.16.10. - Provisión de kit de seguridad y eleme ntos de protección</t>
  </si>
  <si>
    <t>302-230-000000110</t>
  </si>
  <si>
    <t>C.2.16.11. - Sistema de neutralización de fugas de cloro</t>
  </si>
  <si>
    <t>302-230-000000120</t>
  </si>
  <si>
    <t>C.2.16.12. - Provisión y montaje del detector de f ugas de cloro</t>
  </si>
  <si>
    <t>302-230-000000130</t>
  </si>
  <si>
    <t xml:space="preserve">C.2.16.13. - Conducto de extracción de aire-cloro </t>
  </si>
  <si>
    <t>302-230-000000140</t>
  </si>
  <si>
    <t>C.2.16.14. - Provisión y montaje del extractor cen trífugo, capacidad 2000 m³/h</t>
  </si>
  <si>
    <t>302-230-000000150</t>
  </si>
  <si>
    <t>C.2.16.15. - Provisión y colocación de alarma opti co-acustica</t>
  </si>
  <si>
    <t>302-230-000000160</t>
  </si>
  <si>
    <t>C.2.16.16. - Provisión y montaje de torre de neutr alización de fugas de cloro</t>
  </si>
  <si>
    <t>302-230-000000170</t>
  </si>
  <si>
    <t>C.2.16.17. - Provisión y montaje de analizadores d e cloro residual libre</t>
  </si>
  <si>
    <t>302-240-000000000</t>
  </si>
  <si>
    <t>C.2.17 - Instalación Eléctrica</t>
  </si>
  <si>
    <t>302-240-000000010</t>
  </si>
  <si>
    <t>C.2.17.1. - Provisión y montaje de sub estacion transformadora (SET) 250 KVA sobre nivel de piso completa, conectada a caja de transferencia</t>
  </si>
  <si>
    <t>302-240-000000020</t>
  </si>
  <si>
    <t>C.2.17.2. - Provisión y montaje de grupo electró geno de 250 KVA con caja de transferencia automática, montado sobre trailler, incluido deposito auxiliar de combustible</t>
  </si>
  <si>
    <t>302-240-000000030</t>
  </si>
  <si>
    <t>C.2.17.3. - Provisión y montaje de tablero gener al de comando completo, incluye cableado hasta caja de transferencia</t>
  </si>
  <si>
    <t>302-240-000000040</t>
  </si>
  <si>
    <t>C.2.17.4. - Provisión y montaje de tableros se ccionales</t>
  </si>
  <si>
    <t>302-240-000000050</t>
  </si>
  <si>
    <t>C.2.17.5. - Provisión y colocación de conductore s eléctricos para circuito de iluminación, farolas, luminarias y torres, Incluido tuberías de P.V.C.</t>
  </si>
  <si>
    <t>302-240-000000055</t>
  </si>
  <si>
    <t>C.2.17.6. - Provisión y colocación de conductore s eléctricos desde tablero general a tableros secundarios, incluye tuberías de P.V.C. y cámaras de inspección</t>
  </si>
  <si>
    <t>302-240-000000060</t>
  </si>
  <si>
    <t>C.2.17.7. - Provisión y colocación de luminarias exteriores</t>
  </si>
  <si>
    <t>302-250-000000000</t>
  </si>
  <si>
    <t>C.2.18. Sistema automático de comando y control de</t>
  </si>
  <si>
    <t>302-250-000000010</t>
  </si>
  <si>
    <t>C.2.18.1. - Provisión y montaje del sistema de c omando y control automático</t>
  </si>
  <si>
    <t>302-250-000000020</t>
  </si>
  <si>
    <t>C.2.18.2. - Ingeniería de detalle del sistema de comando y control automático</t>
  </si>
  <si>
    <t>302-300-000000000</t>
  </si>
  <si>
    <t>C.2.19. - Obras complementarias</t>
  </si>
  <si>
    <t>302-300-000000010</t>
  </si>
  <si>
    <t>C.2.19.1. - Excavación y movimiento de suelo par a la construcción de camineria vehicular</t>
  </si>
  <si>
    <t>302-300-000000015</t>
  </si>
  <si>
    <t>C.2.19.2. - Terraplén par a la construcción de cam ineria vehicular</t>
  </si>
  <si>
    <t>302-300-000000020</t>
  </si>
  <si>
    <t>C.2.19.3. - Preparación de sub-base estabilizada para camineria vehicular</t>
  </si>
  <si>
    <t>302-300-000000030</t>
  </si>
  <si>
    <t>C.2.19.4. - Construcción de base estabilizada gr anular para camineria vehicular</t>
  </si>
  <si>
    <t>302-300-000000040</t>
  </si>
  <si>
    <t>C.2.19.5. - Pavimento de hormigón, e = 17 cm. So bre base estabilizada granular</t>
  </si>
  <si>
    <t>302-300-000000050</t>
  </si>
  <si>
    <t>C.2.19.6. - Camineria peatonal y veredas para ci rculación interna con losetas premoldeadas de hormigón</t>
  </si>
  <si>
    <t>302-300-000000060</t>
  </si>
  <si>
    <t>C.2.19.7. - Movimiento de suelo, nivelación y co mpactación para el aterrazamiento de la planta</t>
  </si>
  <si>
    <t>302-300-000000080</t>
  </si>
  <si>
    <t xml:space="preserve">C.2.19.8. - Parquizacion y forestación </t>
  </si>
  <si>
    <t>302-300-000000090</t>
  </si>
  <si>
    <t xml:space="preserve">C.2.19.9. - Cerco perimetral y portón de acceso </t>
  </si>
  <si>
    <t>400-000-000000000</t>
  </si>
  <si>
    <t>ANEXO ACTA ACUERDO RE EJECUCIUON OSSE</t>
  </si>
  <si>
    <t>400-010-000000000</t>
  </si>
  <si>
    <t xml:space="preserve">A Acueducto Dr. Ortega (PEAD-PN10-Ø600mm) </t>
  </si>
  <si>
    <t>400-010-000000010</t>
  </si>
  <si>
    <t xml:space="preserve">A.2.3.1. Limpieza y Replanteo </t>
  </si>
  <si>
    <t>400-010-000000020</t>
  </si>
  <si>
    <t>A.2.3.3. Excavación de zanjas para instalación de cañerías</t>
  </si>
  <si>
    <t>400-010-000000030</t>
  </si>
  <si>
    <t xml:space="preserve">A.2.3.4. Ejecución de Cama de Asiento </t>
  </si>
  <si>
    <t>400-010-000000040</t>
  </si>
  <si>
    <t xml:space="preserve">A.2.3.5. Colocación de Cañería </t>
  </si>
  <si>
    <t>400-010-000000050</t>
  </si>
  <si>
    <t xml:space="preserve">A.2.3.6. Ejecución de Paquete Estructural </t>
  </si>
  <si>
    <t>400-010-000000060</t>
  </si>
  <si>
    <t xml:space="preserve">A.2.3.7. Ejecución de Relleno Superior </t>
  </si>
  <si>
    <t>400-010-000000070</t>
  </si>
  <si>
    <t xml:space="preserve">A.2.3.8. Ejecución de Sub-Base y Base </t>
  </si>
  <si>
    <t>400-010-000000080</t>
  </si>
  <si>
    <t xml:space="preserve">A.2.3.18. Limpieza Final de Obra </t>
  </si>
  <si>
    <t>400-010-000000090</t>
  </si>
  <si>
    <t>A.2.3.29. Excavación de zanja proximo cañería (Pre cio Excav mayorado 20 % x cuidado de tuberia )= $ 447,52*1,20</t>
  </si>
  <si>
    <t>400-010-000000100</t>
  </si>
  <si>
    <t>A.2.3.30. Recuperación de Tubería  (Idem Precio de colocacion)</t>
  </si>
  <si>
    <t>400-020-000000000</t>
  </si>
  <si>
    <t xml:space="preserve">B Impulsion cloacal </t>
  </si>
  <si>
    <t>400-020-000000010</t>
  </si>
  <si>
    <t xml:space="preserve">B.2.4.1. Limpieza y Replanteo </t>
  </si>
  <si>
    <t>400-020-000000020</t>
  </si>
  <si>
    <t>B.2.4.2. Excavación de zanjas para instalación de cañerías</t>
  </si>
  <si>
    <t>400-020-000000030</t>
  </si>
  <si>
    <t xml:space="preserve">B.2.4.3. Ejecución de Cama de Asiento </t>
  </si>
  <si>
    <t>400-020-000000040</t>
  </si>
  <si>
    <t xml:space="preserve">B.2.4.4. Colocación de Cañería </t>
  </si>
  <si>
    <t>400-020-000000050</t>
  </si>
  <si>
    <t xml:space="preserve">B.2.4.5. Ejecución de Paquete Estructural </t>
  </si>
  <si>
    <t>400-020-000000060</t>
  </si>
  <si>
    <t xml:space="preserve">B.2.4.6. Ejecución de Relleno Superior </t>
  </si>
  <si>
    <t>400-020-000000070</t>
  </si>
  <si>
    <t xml:space="preserve">B.2.4.7. Ejecución de Sub-Base y Base </t>
  </si>
  <si>
    <t>400-020-000000080</t>
  </si>
  <si>
    <t xml:space="preserve">B.2.4.10. Limpieza Final de Obra </t>
  </si>
  <si>
    <t>400-020-000000090</t>
  </si>
  <si>
    <t>B.2.4.19. Excavación de zanja proximo cañería (Pre cio Excav mayorado 20 % x cuidado de tuberia )= $ 532,88*1,2</t>
  </si>
  <si>
    <t>400-020-000000100</t>
  </si>
  <si>
    <t>B.2.4.20. Recuperación de Tubería  (Idem Precio de colocacion)</t>
  </si>
  <si>
    <t>400-030-000000000</t>
  </si>
  <si>
    <t xml:space="preserve">C Colector cloacal </t>
  </si>
  <si>
    <t>400-030-000000010</t>
  </si>
  <si>
    <t xml:space="preserve">C.1.1. Limpieza y Replanteo </t>
  </si>
  <si>
    <t>400-030-000000020</t>
  </si>
  <si>
    <t>C.1.3. Excavación de zanjas para instalación de ca ñerías</t>
  </si>
  <si>
    <t>400-030-000000030</t>
  </si>
  <si>
    <t xml:space="preserve">C.1.4. Ejecución de Cama de Asiento </t>
  </si>
  <si>
    <t>400-030-000000040</t>
  </si>
  <si>
    <t xml:space="preserve">C.1.5. Colocación de Cañería </t>
  </si>
  <si>
    <t>400-030-000000050</t>
  </si>
  <si>
    <t xml:space="preserve">C.1.6. Ejecución de Paquete Estructural </t>
  </si>
  <si>
    <t>400-030-000000060</t>
  </si>
  <si>
    <t xml:space="preserve">C.1.7. Ejecución de Relleno Superior </t>
  </si>
  <si>
    <t>400-030-000000070</t>
  </si>
  <si>
    <t xml:space="preserve">C.1.8. Ejecución de Sub-Base y Base </t>
  </si>
  <si>
    <t>400-030-000000080</t>
  </si>
  <si>
    <t xml:space="preserve">C.1.14. Limpieza Final de Obra </t>
  </si>
  <si>
    <t>400-040-000000000</t>
  </si>
  <si>
    <t xml:space="preserve">D Acueducto Marquesado </t>
  </si>
  <si>
    <t>400-040-000000010</t>
  </si>
  <si>
    <t xml:space="preserve">D.1.1. Limpieza y Replanteo </t>
  </si>
  <si>
    <t>400-040-000000020</t>
  </si>
  <si>
    <t>D.1.3. Excavación de zanjas para instalación de ca ñerías</t>
  </si>
  <si>
    <t>400-040-000000030</t>
  </si>
  <si>
    <t xml:space="preserve">D.1.4. Ejecución de Cama de Asiento </t>
  </si>
  <si>
    <t>400-040-000000040</t>
  </si>
  <si>
    <t xml:space="preserve">D.1.5. Colocación de Cañería </t>
  </si>
  <si>
    <t>400-040-000000050</t>
  </si>
  <si>
    <t xml:space="preserve">D.1.6. Ejecución de Paquete Estructural </t>
  </si>
  <si>
    <t>400-040-000000060</t>
  </si>
  <si>
    <t xml:space="preserve">D.1.7. Ejecución de Relleno Superior </t>
  </si>
  <si>
    <t>400-040-000000070</t>
  </si>
  <si>
    <t xml:space="preserve">D.1.8. Ejecución de Sub-Base y Base </t>
  </si>
  <si>
    <t>400-040-000000080</t>
  </si>
  <si>
    <t xml:space="preserve">D.1.14. Limpieza Final de Obra </t>
  </si>
  <si>
    <t>400-040-000000090</t>
  </si>
  <si>
    <t>D.1.26. Excavación de zanja proximo cañería (Preci o Excav mayorado 20 % x cuidado de tuberia )= $ 389,51*1,20</t>
  </si>
  <si>
    <t>400-040-000000100</t>
  </si>
  <si>
    <t>D.1.27. Recuperación de Tubería  (Idem Precio de c olocacion)</t>
  </si>
  <si>
    <t>400-050-000000000</t>
  </si>
  <si>
    <t xml:space="preserve">E Acueducto Sur 2 </t>
  </si>
  <si>
    <t>400-050-000000010</t>
  </si>
  <si>
    <t xml:space="preserve">E.2.3.1. Limpieza y Replanteo </t>
  </si>
  <si>
    <t>400-050-000000020</t>
  </si>
  <si>
    <t>E.2.3.3. Excavación de zanjas para instalación de cañerías</t>
  </si>
  <si>
    <t>400-050-000000030</t>
  </si>
  <si>
    <t xml:space="preserve">E.2.3.4. Ejecución de Cama de Asiento </t>
  </si>
  <si>
    <t>400-050-000000040</t>
  </si>
  <si>
    <t xml:space="preserve">E.2.3.5. Colocación de Cañería </t>
  </si>
  <si>
    <t>400-050-000000050</t>
  </si>
  <si>
    <t xml:space="preserve">E.2.3.6. Ejecución de Paquete Estructural </t>
  </si>
  <si>
    <t>400-050-000000060</t>
  </si>
  <si>
    <t xml:space="preserve">E.2.3.18. Limpieza Final de Obra </t>
  </si>
  <si>
    <t>400-050-000000070</t>
  </si>
  <si>
    <t>E.2.3.31. Excavación de zanja proximo cañería (Pre cio Excav mayorado 20 % x cuidado de tuberia )= $ 447,52*1,20</t>
  </si>
  <si>
    <t>400-050-000000080</t>
  </si>
  <si>
    <t>E.2.3.32. Recuperación de Tubería  (Idem Precio de colocacion)</t>
  </si>
  <si>
    <t>400-050-000000090</t>
  </si>
  <si>
    <t>E.2.3.33. Tapado de zanja sin compactación (70 % d el precio del item Relleno Superior)</t>
  </si>
  <si>
    <t>999-999-999999999</t>
  </si>
  <si>
    <t>**************************************************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</si>
</sst>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0.00"/>
    <numFmt numFmtId="165" formatCode="0.0000%"/>
    <numFmt numFmtId="166" formatCode="###,###,##0.0000"/>
    <numFmt numFmtId="167" formatCode="###,###,##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10" fontId="0" fillId="0" borderId="0" xfId="0" applyNumberFormat="1"/>
    <xf numFmtId="164" fontId="1" fillId="0" borderId="0" xfId="0" applyNumberFormat="1" applyFont="1"/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0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2" fillId="3" borderId="4" xfId="0" quotePrefix="1" applyNumberFormat="1" applyFont="1" applyFill="1" applyBorder="1"/>
    <xf numFmtId="164" fontId="2" fillId="3" borderId="5" xfId="0" applyNumberFormat="1" applyFont="1" applyFill="1" applyBorder="1"/>
    <xf numFmtId="10" fontId="2" fillId="3" borderId="5" xfId="0" applyNumberFormat="1" applyFont="1" applyFill="1" applyBorder="1"/>
    <xf numFmtId="164" fontId="2" fillId="3" borderId="6" xfId="0" applyNumberFormat="1" applyFont="1" applyFill="1" applyBorder="1"/>
    <xf numFmtId="164" fontId="0" fillId="0" borderId="4" xfId="0" applyNumberFormat="1" applyBorder="1"/>
    <xf numFmtId="164" fontId="0" fillId="0" borderId="5" xfId="0" applyNumberFormat="1" applyBorder="1"/>
    <xf numFmtId="10" fontId="0" fillId="0" borderId="5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4" fontId="0" fillId="0" borderId="4" xfId="0" quotePrefix="1" applyNumberFormat="1" applyBorder="1"/>
    <xf numFmtId="164" fontId="0" fillId="4" borderId="5" xfId="0" applyNumberFormat="1" applyFill="1" applyBorder="1"/>
    <xf numFmtId="164" fontId="0" fillId="0" borderId="6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167" fontId="0" fillId="2" borderId="2" xfId="0" applyNumberFormat="1" applyFill="1" applyBorder="1"/>
    <xf numFmtId="165" fontId="0" fillId="2" borderId="2" xfId="0" applyNumberFormat="1" applyFill="1" applyBorder="1"/>
    <xf numFmtId="164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os\BRH\UO1316%20SAN%20JUAN\TC\202606\PB8\Original\1316-PB8-PRV%20Costos%20Directos-v04-11-2025.xlsx" TargetMode="External"/><Relationship Id="rId1" Type="http://schemas.openxmlformats.org/officeDocument/2006/relationships/externalLinkPath" Target="/Documentos/BRH/UO1316%20SAN%20JUAN/TC/202606/PB8/Original/1316-PB8-PRV%20Costos%20Directos-v04-11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L695%20Pav%20RP%20S-433%20-%20Tinoco\10%20Costeo\70%20Cierre\PRV%20L695%20RP%20S-433%2020250725%20v01.xlsx" TargetMode="External"/><Relationship Id="rId1" Type="http://schemas.openxmlformats.org/officeDocument/2006/relationships/externalLinkPath" Target="file:///Z:\L695%20Pav%20RP%20S-433%20-%20Tinoco\10%20Costeo\70%20Cierre\PRV%20L695%20RP%20S-433%2020250725%20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isas"/>
      <sheetName val="CD"/>
      <sheetName val="Acueducto ABC"/>
      <sheetName val="Planta ABC"/>
      <sheetName val="Rubros"/>
      <sheetName val="DTR"/>
      <sheetName val="DTR (ABC)"/>
      <sheetName val="STD hormigones"/>
      <sheetName val="AP"/>
      <sheetName val="AP (Aux.)"/>
      <sheetName val="AP (Exp)"/>
      <sheetName val="DP ($)"/>
      <sheetName val="DP (Cant.)"/>
      <sheetName val="PT ($)"/>
      <sheetName val="PT (Cant.)"/>
      <sheetName val="Ajustes"/>
      <sheetName val="Eq"/>
      <sheetName val="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VENTA"/>
      <sheetName val="Ajuste"/>
      <sheetName val="DESGLOSE"/>
      <sheetName val="Forma de Pago"/>
      <sheetName val="CD"/>
      <sheetName val="Rubros"/>
      <sheetName val="DTR"/>
      <sheetName val="Alq Eq"/>
      <sheetName val="DPR $"/>
      <sheetName val="DPR Cant"/>
      <sheetName val="Eq"/>
      <sheetName val="Tpte. Equip"/>
      <sheetName val="MO"/>
      <sheetName val="Certificación"/>
      <sheetName val="Fianzas"/>
      <sheetName val="Inflación"/>
      <sheetName val="DyRT Cba"/>
      <sheetName val="MOI"/>
      <sheetName val="GENERALES"/>
      <sheetName val="FLUJO"/>
      <sheetName val="SALARIOS"/>
      <sheetName val="CCSS"/>
      <sheetName val="Movilidades"/>
      <sheetName val="Señalización"/>
      <sheetName val="Ambiente e HyS Laboral"/>
      <sheetName val="Equip Taller"/>
      <sheetName val="Pers Taller"/>
    </sheetNames>
    <sheetDataSet>
      <sheetData sheetId="0">
        <row r="11">
          <cell r="B11">
            <v>1280</v>
          </cell>
        </row>
      </sheetData>
      <sheetData sheetId="1">
        <row r="8">
          <cell r="D8">
            <v>2161982571.8694</v>
          </cell>
        </row>
      </sheetData>
      <sheetData sheetId="2"/>
      <sheetData sheetId="3">
        <row r="36">
          <cell r="B36" t="str">
            <v>Combustibles:</v>
          </cell>
        </row>
      </sheetData>
      <sheetData sheetId="4"/>
      <sheetData sheetId="5"/>
      <sheetData sheetId="6"/>
      <sheetData sheetId="7">
        <row r="3">
          <cell r="X3" t="e">
            <v>#N/A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8">
          <cell r="L28">
            <v>152003523.82731795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8CBA-3CA2-46D8-98BC-362C143EFE73}">
  <dimension ref="A1:DM1631"/>
  <sheetViews>
    <sheetView tabSelected="1" topLeftCell="A2" zoomScale="80" zoomScaleNormal="80" workbookViewId="0">
      <selection activeCell="CS38" sqref="CS38"/>
    </sheetView>
  </sheetViews>
  <sheetFormatPr baseColWidth="10" defaultRowHeight="14.4" outlineLevelCol="1" x14ac:dyDescent="0.3"/>
  <cols>
    <col min="1" max="1" width="17.6640625" style="1" customWidth="1"/>
    <col min="2" max="2" width="55.6640625" style="1" customWidth="1"/>
    <col min="3" max="4" width="15.6640625" style="1" customWidth="1"/>
    <col min="5" max="6" width="15.6640625" style="1" hidden="1" customWidth="1"/>
    <col min="7" max="7" width="15.6640625" style="2" hidden="1" customWidth="1"/>
    <col min="8" max="86" width="15.6640625" style="1" hidden="1" customWidth="1" outlineLevel="1"/>
    <col min="87" max="87" width="15.6640625" style="1" customWidth="1" collapsed="1"/>
    <col min="88" max="117" width="15.6640625" style="1" customWidth="1"/>
  </cols>
  <sheetData>
    <row r="1" spans="1:117" hidden="1" x14ac:dyDescent="0.3">
      <c r="A1" s="1">
        <f>F1631</f>
        <v>77998844243.787918</v>
      </c>
    </row>
    <row r="2" spans="1:117" x14ac:dyDescent="0.3">
      <c r="A2" s="1" t="s">
        <v>0</v>
      </c>
      <c r="B2" s="1">
        <v>1</v>
      </c>
    </row>
    <row r="4" spans="1:117" x14ac:dyDescent="0.3">
      <c r="A4" s="3" t="s">
        <v>1</v>
      </c>
    </row>
    <row r="6" spans="1:117" x14ac:dyDescent="0.3">
      <c r="A6" s="3" t="s">
        <v>2</v>
      </c>
    </row>
    <row r="7" spans="1:117" x14ac:dyDescent="0.3">
      <c r="A7" s="3" t="s">
        <v>3</v>
      </c>
    </row>
    <row r="8" spans="1:117" ht="15" thickBot="1" x14ac:dyDescent="0.35"/>
    <row r="9" spans="1:117" ht="15" thickBot="1" x14ac:dyDescent="0.35">
      <c r="A9" s="4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6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5" t="s">
        <v>18</v>
      </c>
      <c r="P9" s="5" t="s">
        <v>19</v>
      </c>
      <c r="Q9" s="5" t="s">
        <v>20</v>
      </c>
      <c r="R9" s="5" t="s">
        <v>21</v>
      </c>
      <c r="S9" s="5" t="s">
        <v>22</v>
      </c>
      <c r="T9" s="5" t="s">
        <v>23</v>
      </c>
      <c r="U9" s="5" t="s">
        <v>24</v>
      </c>
      <c r="V9" s="5" t="s">
        <v>25</v>
      </c>
      <c r="W9" s="5" t="s">
        <v>26</v>
      </c>
      <c r="X9" s="5" t="s">
        <v>27</v>
      </c>
      <c r="Y9" s="5" t="s">
        <v>28</v>
      </c>
      <c r="Z9" s="5" t="s">
        <v>29</v>
      </c>
      <c r="AA9" s="5" t="s">
        <v>30</v>
      </c>
      <c r="AB9" s="5" t="s">
        <v>31</v>
      </c>
      <c r="AC9" s="5" t="s">
        <v>32</v>
      </c>
      <c r="AD9" s="5" t="s">
        <v>33</v>
      </c>
      <c r="AE9" s="5" t="s">
        <v>34</v>
      </c>
      <c r="AF9" s="5" t="s">
        <v>35</v>
      </c>
      <c r="AG9" s="5" t="s">
        <v>36</v>
      </c>
      <c r="AH9" s="5" t="s">
        <v>37</v>
      </c>
      <c r="AI9" s="5" t="s">
        <v>38</v>
      </c>
      <c r="AJ9" s="5" t="s">
        <v>39</v>
      </c>
      <c r="AK9" s="5" t="s">
        <v>40</v>
      </c>
      <c r="AL9" s="5" t="s">
        <v>41</v>
      </c>
      <c r="AM9" s="5" t="s">
        <v>42</v>
      </c>
      <c r="AN9" s="5" t="s">
        <v>43</v>
      </c>
      <c r="AO9" s="5" t="s">
        <v>44</v>
      </c>
      <c r="AP9" s="5" t="s">
        <v>45</v>
      </c>
      <c r="AQ9" s="5" t="s">
        <v>46</v>
      </c>
      <c r="AR9" s="5" t="s">
        <v>47</v>
      </c>
      <c r="AS9" s="5" t="s">
        <v>48</v>
      </c>
      <c r="AT9" s="5" t="s">
        <v>49</v>
      </c>
      <c r="AU9" s="5" t="s">
        <v>50</v>
      </c>
      <c r="AV9" s="5" t="s">
        <v>51</v>
      </c>
      <c r="AW9" s="5" t="s">
        <v>52</v>
      </c>
      <c r="AX9" s="5" t="s">
        <v>53</v>
      </c>
      <c r="AY9" s="5" t="s">
        <v>54</v>
      </c>
      <c r="AZ9" s="5" t="s">
        <v>55</v>
      </c>
      <c r="BA9" s="5" t="s">
        <v>56</v>
      </c>
      <c r="BB9" s="5" t="s">
        <v>57</v>
      </c>
      <c r="BC9" s="5" t="s">
        <v>58</v>
      </c>
      <c r="BD9" s="5" t="s">
        <v>59</v>
      </c>
      <c r="BE9" s="5" t="s">
        <v>60</v>
      </c>
      <c r="BF9" s="5" t="s">
        <v>61</v>
      </c>
      <c r="BG9" s="5" t="s">
        <v>62</v>
      </c>
      <c r="BH9" s="5" t="s">
        <v>63</v>
      </c>
      <c r="BI9" s="5" t="s">
        <v>64</v>
      </c>
      <c r="BJ9" s="5" t="s">
        <v>65</v>
      </c>
      <c r="BK9" s="5" t="s">
        <v>66</v>
      </c>
      <c r="BL9" s="5" t="s">
        <v>67</v>
      </c>
      <c r="BM9" s="5" t="s">
        <v>68</v>
      </c>
      <c r="BN9" s="5" t="s">
        <v>69</v>
      </c>
      <c r="BO9" s="5" t="s">
        <v>70</v>
      </c>
      <c r="BP9" s="5" t="s">
        <v>71</v>
      </c>
      <c r="BQ9" s="5" t="s">
        <v>72</v>
      </c>
      <c r="BR9" s="5" t="s">
        <v>73</v>
      </c>
      <c r="BS9" s="5" t="s">
        <v>74</v>
      </c>
      <c r="BT9" s="5" t="s">
        <v>75</v>
      </c>
      <c r="BU9" s="5" t="s">
        <v>76</v>
      </c>
      <c r="BV9" s="5" t="s">
        <v>77</v>
      </c>
      <c r="BW9" s="5" t="s">
        <v>78</v>
      </c>
      <c r="BX9" s="5" t="s">
        <v>79</v>
      </c>
      <c r="BY9" s="5" t="s">
        <v>80</v>
      </c>
      <c r="BZ9" s="5" t="s">
        <v>81</v>
      </c>
      <c r="CA9" s="5" t="s">
        <v>82</v>
      </c>
      <c r="CB9" s="5" t="s">
        <v>83</v>
      </c>
      <c r="CC9" s="5" t="s">
        <v>84</v>
      </c>
      <c r="CD9" s="5" t="s">
        <v>85</v>
      </c>
      <c r="CE9" s="5" t="s">
        <v>86</v>
      </c>
      <c r="CF9" s="5" t="s">
        <v>87</v>
      </c>
      <c r="CG9" s="5" t="s">
        <v>88</v>
      </c>
      <c r="CH9" s="5" t="s">
        <v>89</v>
      </c>
      <c r="CI9" s="5" t="s">
        <v>90</v>
      </c>
      <c r="CJ9" s="5" t="s">
        <v>91</v>
      </c>
      <c r="CK9" s="5" t="s">
        <v>92</v>
      </c>
      <c r="CL9" s="5" t="s">
        <v>93</v>
      </c>
      <c r="CM9" s="5" t="s">
        <v>94</v>
      </c>
      <c r="CN9" s="5" t="s">
        <v>95</v>
      </c>
      <c r="CO9" s="5" t="s">
        <v>96</v>
      </c>
      <c r="CP9" s="5" t="s">
        <v>97</v>
      </c>
      <c r="CQ9" s="5" t="s">
        <v>98</v>
      </c>
      <c r="CR9" s="5" t="s">
        <v>99</v>
      </c>
      <c r="CS9" s="5" t="s">
        <v>100</v>
      </c>
      <c r="CT9" s="5" t="s">
        <v>101</v>
      </c>
      <c r="CU9" s="5" t="s">
        <v>102</v>
      </c>
      <c r="CV9" s="5" t="s">
        <v>103</v>
      </c>
      <c r="CW9" s="5" t="s">
        <v>104</v>
      </c>
      <c r="CX9" s="5" t="s">
        <v>105</v>
      </c>
      <c r="CY9" s="5" t="s">
        <v>106</v>
      </c>
      <c r="CZ9" s="5" t="s">
        <v>107</v>
      </c>
      <c r="DA9" s="5" t="s">
        <v>108</v>
      </c>
      <c r="DB9" s="5" t="s">
        <v>109</v>
      </c>
      <c r="DC9" s="5" t="s">
        <v>110</v>
      </c>
      <c r="DD9" s="5" t="s">
        <v>111</v>
      </c>
      <c r="DE9" s="5" t="s">
        <v>112</v>
      </c>
      <c r="DF9" s="5" t="s">
        <v>113</v>
      </c>
      <c r="DG9" s="5" t="s">
        <v>114</v>
      </c>
      <c r="DH9" s="5" t="s">
        <v>115</v>
      </c>
      <c r="DI9" s="5" t="s">
        <v>116</v>
      </c>
      <c r="DJ9" s="5" t="s">
        <v>117</v>
      </c>
      <c r="DK9" s="5" t="s">
        <v>118</v>
      </c>
      <c r="DL9" s="5" t="s">
        <v>119</v>
      </c>
      <c r="DM9" s="7" t="s">
        <v>9</v>
      </c>
    </row>
    <row r="10" spans="1:117" x14ac:dyDescent="0.3">
      <c r="A10" s="8" t="s">
        <v>120</v>
      </c>
      <c r="B10" s="9" t="s">
        <v>121</v>
      </c>
      <c r="C10" s="9"/>
      <c r="D10" s="9"/>
      <c r="E10" s="9"/>
      <c r="F10" s="9"/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11"/>
    </row>
    <row r="11" spans="1:117" x14ac:dyDescent="0.3">
      <c r="A11" s="8" t="s">
        <v>122</v>
      </c>
      <c r="B11" s="9" t="s">
        <v>123</v>
      </c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11"/>
    </row>
    <row r="12" spans="1:117" x14ac:dyDescent="0.3">
      <c r="A12" s="12"/>
      <c r="B12" s="13"/>
      <c r="C12" s="13"/>
      <c r="D12" s="13"/>
      <c r="E12" s="13"/>
      <c r="F12" s="13"/>
      <c r="G12" s="1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5">
        <v>0.74648400000000004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5">
        <v>9.3980000000000001E-3</v>
      </c>
      <c r="CL12" s="15">
        <v>9.3980000000000001E-3</v>
      </c>
      <c r="CM12" s="15">
        <v>2.3071000000000001E-2</v>
      </c>
      <c r="CN12" s="15">
        <v>2.6367999999999999E-2</v>
      </c>
      <c r="CO12" s="15">
        <v>2.1982999999999999E-2</v>
      </c>
      <c r="CP12" s="15">
        <v>1.6192000000000002E-2</v>
      </c>
      <c r="CQ12" s="15">
        <v>1.0574E-2</v>
      </c>
      <c r="CR12" s="15">
        <v>7.3229999999999996E-3</v>
      </c>
      <c r="CS12" s="15">
        <v>8.2470000000000009E-3</v>
      </c>
      <c r="CT12" s="15">
        <v>7.4070000000000004E-3</v>
      </c>
      <c r="CU12" s="15">
        <v>7.4070000000000004E-3</v>
      </c>
      <c r="CV12" s="15">
        <v>7.4070000000000004E-3</v>
      </c>
      <c r="CW12" s="15">
        <v>6.1159999999999999E-3</v>
      </c>
      <c r="CX12" s="15">
        <v>6.1159999999999999E-3</v>
      </c>
      <c r="CY12" s="15">
        <v>6.1159999999999999E-3</v>
      </c>
      <c r="CZ12" s="15">
        <v>6.1159999999999999E-3</v>
      </c>
      <c r="DA12" s="15">
        <v>6.5599999999999999E-3</v>
      </c>
      <c r="DB12" s="15">
        <v>6.5599999999999999E-3</v>
      </c>
      <c r="DC12" s="15">
        <v>6.1159999999999999E-3</v>
      </c>
      <c r="DD12" s="15">
        <v>6.1159999999999999E-3</v>
      </c>
      <c r="DE12" s="15">
        <v>6.1159999999999999E-3</v>
      </c>
      <c r="DF12" s="15">
        <v>6.1159999999999999E-3</v>
      </c>
      <c r="DG12" s="15">
        <v>6.1159999999999999E-3</v>
      </c>
      <c r="DH12" s="15">
        <v>6.1159999999999999E-3</v>
      </c>
      <c r="DI12" s="15">
        <v>6.1159999999999999E-3</v>
      </c>
      <c r="DJ12" s="15">
        <v>6.1159999999999999E-3</v>
      </c>
      <c r="DK12" s="15">
        <v>6.1159999999999999E-3</v>
      </c>
      <c r="DL12" s="15">
        <v>6.1130000000000004E-3</v>
      </c>
      <c r="DM12" s="16">
        <f>SUM(H12:DL12)</f>
        <v>1.0000000000000002</v>
      </c>
    </row>
    <row r="13" spans="1:117" x14ac:dyDescent="0.3">
      <c r="A13" s="17" t="s">
        <v>124</v>
      </c>
      <c r="B13" s="13" t="s">
        <v>125</v>
      </c>
      <c r="C13" s="13" t="s">
        <v>126</v>
      </c>
      <c r="D13" s="13">
        <v>48423.39</v>
      </c>
      <c r="E13" s="13">
        <f>11996.9906*B2</f>
        <v>11996.990599999999</v>
      </c>
      <c r="F13" s="13">
        <f>D13*E13</f>
        <v>580934954.65013397</v>
      </c>
      <c r="G13" s="14">
        <f>F13/A1</f>
        <v>7.4479943937938737E-3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8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9"/>
    </row>
    <row r="14" spans="1:117" x14ac:dyDescent="0.3">
      <c r="A14" s="12"/>
      <c r="B14" s="13"/>
      <c r="C14" s="13"/>
      <c r="D14" s="13"/>
      <c r="E14" s="13"/>
      <c r="F14" s="13"/>
      <c r="G14" s="1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20">
        <f>+$D13*BF12</f>
        <v>36147.285860759999</v>
      </c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20">
        <f t="shared" ref="CK14:DL14" si="0">+$D13*CK12</f>
        <v>455.08301921999998</v>
      </c>
      <c r="CL14" s="20">
        <f t="shared" si="0"/>
        <v>455.08301921999998</v>
      </c>
      <c r="CM14" s="20">
        <f t="shared" si="0"/>
        <v>1117.1760306900001</v>
      </c>
      <c r="CN14" s="20">
        <f t="shared" si="0"/>
        <v>1276.82794752</v>
      </c>
      <c r="CO14" s="20">
        <f t="shared" si="0"/>
        <v>1064.4913823699999</v>
      </c>
      <c r="CP14" s="20">
        <f t="shared" si="0"/>
        <v>784.07153088000007</v>
      </c>
      <c r="CQ14" s="20">
        <f t="shared" si="0"/>
        <v>512.02892585999996</v>
      </c>
      <c r="CR14" s="20">
        <f t="shared" si="0"/>
        <v>354.60448496999999</v>
      </c>
      <c r="CS14" s="20">
        <f t="shared" si="0"/>
        <v>399.34769733000002</v>
      </c>
      <c r="CT14" s="20">
        <f t="shared" si="0"/>
        <v>358.67204973000003</v>
      </c>
      <c r="CU14" s="20">
        <f t="shared" si="0"/>
        <v>358.67204973000003</v>
      </c>
      <c r="CV14" s="20">
        <f t="shared" si="0"/>
        <v>358.67204973000003</v>
      </c>
      <c r="CW14" s="20">
        <f t="shared" si="0"/>
        <v>296.15745324</v>
      </c>
      <c r="CX14" s="20">
        <f t="shared" si="0"/>
        <v>296.15745324</v>
      </c>
      <c r="CY14" s="20">
        <f t="shared" si="0"/>
        <v>296.15745324</v>
      </c>
      <c r="CZ14" s="20">
        <f t="shared" si="0"/>
        <v>296.15745324</v>
      </c>
      <c r="DA14" s="20">
        <f t="shared" si="0"/>
        <v>317.65743839999999</v>
      </c>
      <c r="DB14" s="20">
        <f t="shared" si="0"/>
        <v>317.65743839999999</v>
      </c>
      <c r="DC14" s="20">
        <f t="shared" si="0"/>
        <v>296.15745324</v>
      </c>
      <c r="DD14" s="20">
        <f t="shared" si="0"/>
        <v>296.15745324</v>
      </c>
      <c r="DE14" s="20">
        <f t="shared" si="0"/>
        <v>296.15745324</v>
      </c>
      <c r="DF14" s="20">
        <f t="shared" si="0"/>
        <v>296.15745324</v>
      </c>
      <c r="DG14" s="20">
        <f t="shared" si="0"/>
        <v>296.15745324</v>
      </c>
      <c r="DH14" s="20">
        <f t="shared" si="0"/>
        <v>296.15745324</v>
      </c>
      <c r="DI14" s="20">
        <f t="shared" si="0"/>
        <v>296.15745324</v>
      </c>
      <c r="DJ14" s="20">
        <f t="shared" si="0"/>
        <v>296.15745324</v>
      </c>
      <c r="DK14" s="20">
        <f t="shared" si="0"/>
        <v>296.15745324</v>
      </c>
      <c r="DL14" s="20">
        <f t="shared" si="0"/>
        <v>296.01218306999999</v>
      </c>
      <c r="DM14" s="21">
        <f>SUM(H14:DL14)</f>
        <v>48423.389999999956</v>
      </c>
    </row>
    <row r="15" spans="1:117" x14ac:dyDescent="0.3">
      <c r="A15" s="8" t="s">
        <v>127</v>
      </c>
      <c r="B15" s="9" t="s">
        <v>128</v>
      </c>
      <c r="C15" s="9"/>
      <c r="D15" s="9"/>
      <c r="E15" s="9"/>
      <c r="F15" s="9"/>
      <c r="G15" s="1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11"/>
    </row>
    <row r="16" spans="1:117" x14ac:dyDescent="0.3">
      <c r="A16" s="12"/>
      <c r="B16" s="13"/>
      <c r="C16" s="13"/>
      <c r="D16" s="13"/>
      <c r="E16" s="13"/>
      <c r="F16" s="13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5">
        <v>0.87839199999999995</v>
      </c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5">
        <v>6.0800000000000003E-3</v>
      </c>
      <c r="CO16" s="15">
        <v>6.0800000000000003E-3</v>
      </c>
      <c r="CP16" s="15">
        <v>6.0800000000000003E-3</v>
      </c>
      <c r="CQ16" s="15">
        <v>6.0800000000000003E-3</v>
      </c>
      <c r="CR16" s="15">
        <v>6.0800000000000003E-3</v>
      </c>
      <c r="CS16" s="15">
        <v>6.0800000000000003E-3</v>
      </c>
      <c r="CT16" s="15">
        <v>6.0800000000000003E-3</v>
      </c>
      <c r="CU16" s="15">
        <v>6.0800000000000003E-3</v>
      </c>
      <c r="CV16" s="15">
        <v>6.0800000000000003E-3</v>
      </c>
      <c r="CW16" s="15">
        <v>6.0800000000000003E-3</v>
      </c>
      <c r="CX16" s="15">
        <v>6.0800000000000003E-3</v>
      </c>
      <c r="CY16" s="15">
        <v>6.0800000000000003E-3</v>
      </c>
      <c r="CZ16" s="15">
        <v>6.0800000000000003E-3</v>
      </c>
      <c r="DA16" s="15">
        <v>6.0800000000000003E-3</v>
      </c>
      <c r="DB16" s="15">
        <v>6.0800000000000003E-3</v>
      </c>
      <c r="DC16" s="15">
        <v>6.0800000000000003E-3</v>
      </c>
      <c r="DD16" s="15">
        <v>6.0800000000000003E-3</v>
      </c>
      <c r="DE16" s="15">
        <v>6.0800000000000003E-3</v>
      </c>
      <c r="DF16" s="15">
        <v>6.0800000000000003E-3</v>
      </c>
      <c r="DG16" s="15">
        <v>6.0879999999999997E-3</v>
      </c>
      <c r="DH16" s="13"/>
      <c r="DI16" s="13"/>
      <c r="DJ16" s="13"/>
      <c r="DK16" s="13"/>
      <c r="DL16" s="13"/>
      <c r="DM16" s="16">
        <f>SUM(H16:DL16)</f>
        <v>0.99999999999999944</v>
      </c>
    </row>
    <row r="17" spans="1:117" x14ac:dyDescent="0.3">
      <c r="A17" s="17" t="s">
        <v>129</v>
      </c>
      <c r="B17" s="13" t="s">
        <v>130</v>
      </c>
      <c r="C17" s="13" t="s">
        <v>126</v>
      </c>
      <c r="D17" s="13">
        <v>11023.89</v>
      </c>
      <c r="E17" s="13">
        <f>7559.668*B2</f>
        <v>7559.6679999999997</v>
      </c>
      <c r="F17" s="13">
        <f>D17*E17</f>
        <v>83336948.468519986</v>
      </c>
      <c r="G17" s="14">
        <f>F17/A1</f>
        <v>1.0684382477264363E-3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8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3"/>
      <c r="DI17" s="13"/>
      <c r="DJ17" s="13"/>
      <c r="DK17" s="13"/>
      <c r="DL17" s="13"/>
      <c r="DM17" s="19"/>
    </row>
    <row r="18" spans="1:117" x14ac:dyDescent="0.3">
      <c r="A18" s="12"/>
      <c r="B18" s="13"/>
      <c r="C18" s="13"/>
      <c r="D18" s="13"/>
      <c r="E18" s="13"/>
      <c r="F18" s="13"/>
      <c r="G18" s="1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20">
        <f>+$D17*BF16</f>
        <v>9683.2967848799981</v>
      </c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20">
        <f t="shared" ref="CN18:DG18" si="1">+$D17*CN16</f>
        <v>67.0252512</v>
      </c>
      <c r="CO18" s="20">
        <f t="shared" si="1"/>
        <v>67.0252512</v>
      </c>
      <c r="CP18" s="20">
        <f t="shared" si="1"/>
        <v>67.0252512</v>
      </c>
      <c r="CQ18" s="20">
        <f t="shared" si="1"/>
        <v>67.0252512</v>
      </c>
      <c r="CR18" s="20">
        <f t="shared" si="1"/>
        <v>67.0252512</v>
      </c>
      <c r="CS18" s="20">
        <f t="shared" si="1"/>
        <v>67.0252512</v>
      </c>
      <c r="CT18" s="20">
        <f t="shared" si="1"/>
        <v>67.0252512</v>
      </c>
      <c r="CU18" s="20">
        <f t="shared" si="1"/>
        <v>67.0252512</v>
      </c>
      <c r="CV18" s="20">
        <f t="shared" si="1"/>
        <v>67.0252512</v>
      </c>
      <c r="CW18" s="20">
        <f t="shared" si="1"/>
        <v>67.0252512</v>
      </c>
      <c r="CX18" s="20">
        <f t="shared" si="1"/>
        <v>67.0252512</v>
      </c>
      <c r="CY18" s="20">
        <f t="shared" si="1"/>
        <v>67.0252512</v>
      </c>
      <c r="CZ18" s="20">
        <f t="shared" si="1"/>
        <v>67.0252512</v>
      </c>
      <c r="DA18" s="20">
        <f t="shared" si="1"/>
        <v>67.0252512</v>
      </c>
      <c r="DB18" s="20">
        <f t="shared" si="1"/>
        <v>67.0252512</v>
      </c>
      <c r="DC18" s="20">
        <f t="shared" si="1"/>
        <v>67.0252512</v>
      </c>
      <c r="DD18" s="20">
        <f t="shared" si="1"/>
        <v>67.0252512</v>
      </c>
      <c r="DE18" s="20">
        <f t="shared" si="1"/>
        <v>67.0252512</v>
      </c>
      <c r="DF18" s="20">
        <f t="shared" si="1"/>
        <v>67.0252512</v>
      </c>
      <c r="DG18" s="20">
        <f t="shared" si="1"/>
        <v>67.11344231999999</v>
      </c>
      <c r="DH18" s="13"/>
      <c r="DI18" s="13"/>
      <c r="DJ18" s="13"/>
      <c r="DK18" s="13"/>
      <c r="DL18" s="13"/>
      <c r="DM18" s="21">
        <f>SUM(H18:DL18)</f>
        <v>11023.89000000001</v>
      </c>
    </row>
    <row r="19" spans="1:117" x14ac:dyDescent="0.3">
      <c r="A19" s="8" t="s">
        <v>131</v>
      </c>
      <c r="B19" s="9" t="s">
        <v>132</v>
      </c>
      <c r="C19" s="9"/>
      <c r="D19" s="9"/>
      <c r="E19" s="9"/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11"/>
    </row>
    <row r="20" spans="1:117" x14ac:dyDescent="0.3">
      <c r="A20" s="12"/>
      <c r="B20" s="13"/>
      <c r="C20" s="13"/>
      <c r="D20" s="13"/>
      <c r="E20" s="13"/>
      <c r="F20" s="13"/>
      <c r="G20" s="1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6">
        <f>SUM(H20:DL20)</f>
        <v>0</v>
      </c>
    </row>
    <row r="21" spans="1:117" x14ac:dyDescent="0.3">
      <c r="A21" s="17" t="s">
        <v>133</v>
      </c>
      <c r="B21" s="13" t="s">
        <v>134</v>
      </c>
      <c r="C21" s="13" t="s">
        <v>135</v>
      </c>
      <c r="D21" s="13">
        <v>0</v>
      </c>
      <c r="E21" s="13">
        <f>0*B2</f>
        <v>0</v>
      </c>
      <c r="F21" s="13">
        <f>D21*E21</f>
        <v>0</v>
      </c>
      <c r="G21" s="14">
        <f>F21/A1</f>
        <v>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9"/>
    </row>
    <row r="22" spans="1:117" x14ac:dyDescent="0.3">
      <c r="A22" s="12"/>
      <c r="B22" s="13"/>
      <c r="C22" s="13"/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21">
        <f>SUM(H22:DL22)</f>
        <v>0</v>
      </c>
    </row>
    <row r="23" spans="1:117" x14ac:dyDescent="0.3">
      <c r="A23" s="12"/>
      <c r="B23" s="13"/>
      <c r="C23" s="13"/>
      <c r="D23" s="13"/>
      <c r="E23" s="13"/>
      <c r="F23" s="13"/>
      <c r="G23" s="1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5">
        <v>0.97164799999999996</v>
      </c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5">
        <v>7.0879999999999997E-3</v>
      </c>
      <c r="CT23" s="15">
        <v>7.0879999999999997E-3</v>
      </c>
      <c r="CU23" s="15">
        <v>7.0879999999999997E-3</v>
      </c>
      <c r="CV23" s="15">
        <v>7.0879999999999997E-3</v>
      </c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6">
        <f>SUM(H23:DL23)</f>
        <v>0.99999999999999989</v>
      </c>
    </row>
    <row r="24" spans="1:117" x14ac:dyDescent="0.3">
      <c r="A24" s="17" t="s">
        <v>136</v>
      </c>
      <c r="B24" s="13" t="s">
        <v>137</v>
      </c>
      <c r="C24" s="13" t="s">
        <v>135</v>
      </c>
      <c r="D24" s="13">
        <v>42044.74</v>
      </c>
      <c r="E24" s="13">
        <f>13727.0988*B2</f>
        <v>13727.0988</v>
      </c>
      <c r="F24" s="13">
        <f>D24*E24</f>
        <v>577152300.00031197</v>
      </c>
      <c r="G24" s="14">
        <f>F24/A1</f>
        <v>7.3994981027719299E-3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8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8"/>
      <c r="CT24" s="18"/>
      <c r="CU24" s="18"/>
      <c r="CV24" s="18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9"/>
    </row>
    <row r="25" spans="1:117" x14ac:dyDescent="0.3">
      <c r="A25" s="12"/>
      <c r="B25" s="13"/>
      <c r="C25" s="13"/>
      <c r="D25" s="13"/>
      <c r="E25" s="13"/>
      <c r="F25" s="13"/>
      <c r="G25" s="1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20">
        <f>+$D24*BF23</f>
        <v>40852.687531519994</v>
      </c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20">
        <f>+$D24*CS23</f>
        <v>298.01311711999995</v>
      </c>
      <c r="CT25" s="20">
        <f>+$D24*CT23</f>
        <v>298.01311711999995</v>
      </c>
      <c r="CU25" s="20">
        <f>+$D24*CU23</f>
        <v>298.01311711999995</v>
      </c>
      <c r="CV25" s="20">
        <f>+$D24*CV23</f>
        <v>298.01311711999995</v>
      </c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21">
        <f>SUM(H25:DL25)</f>
        <v>42044.739999999983</v>
      </c>
    </row>
    <row r="26" spans="1:117" x14ac:dyDescent="0.3">
      <c r="A26" s="12"/>
      <c r="B26" s="13"/>
      <c r="C26" s="13"/>
      <c r="D26" s="13"/>
      <c r="E26" s="13"/>
      <c r="F26" s="13"/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5">
        <v>0.5</v>
      </c>
      <c r="CL26" s="15">
        <v>0.5</v>
      </c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6">
        <f>SUM(H26:DL26)</f>
        <v>1</v>
      </c>
    </row>
    <row r="27" spans="1:117" x14ac:dyDescent="0.3">
      <c r="A27" s="17" t="s">
        <v>138</v>
      </c>
      <c r="B27" s="13" t="s">
        <v>139</v>
      </c>
      <c r="C27" s="13" t="s">
        <v>135</v>
      </c>
      <c r="D27" s="13">
        <v>3880.76</v>
      </c>
      <c r="E27" s="13">
        <f>17808*B2</f>
        <v>17808</v>
      </c>
      <c r="F27" s="13">
        <f>D27*E27</f>
        <v>69108574.079999998</v>
      </c>
      <c r="G27" s="14">
        <f>F27/A1</f>
        <v>8.8602048850876442E-4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8"/>
      <c r="CL27" s="18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9"/>
    </row>
    <row r="28" spans="1:117" x14ac:dyDescent="0.3">
      <c r="A28" s="12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20">
        <f>+$D27*CK26</f>
        <v>1940.38</v>
      </c>
      <c r="CL28" s="20">
        <f>+$D27*CL26</f>
        <v>1940.38</v>
      </c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21">
        <f>SUM(H28:DL28)</f>
        <v>3880.76</v>
      </c>
    </row>
    <row r="29" spans="1:117" x14ac:dyDescent="0.3">
      <c r="A29" s="12"/>
      <c r="B29" s="13"/>
      <c r="C29" s="13"/>
      <c r="D29" s="13"/>
      <c r="E29" s="13"/>
      <c r="F29" s="13"/>
      <c r="G29" s="1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5">
        <v>0.85640099999999997</v>
      </c>
      <c r="BG29" s="13"/>
      <c r="BH29" s="13"/>
      <c r="BI29" s="13"/>
      <c r="BJ29" s="13"/>
      <c r="BK29" s="15">
        <v>1.6869999999999999E-3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5">
        <v>0.11353000000000001</v>
      </c>
      <c r="CN29" s="15">
        <v>2.8382000000000001E-2</v>
      </c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6">
        <f>SUM(H29:DL29)</f>
        <v>1</v>
      </c>
    </row>
    <row r="30" spans="1:117" x14ac:dyDescent="0.3">
      <c r="A30" s="17" t="s">
        <v>140</v>
      </c>
      <c r="B30" s="13" t="s">
        <v>141</v>
      </c>
      <c r="C30" s="13" t="s">
        <v>135</v>
      </c>
      <c r="D30" s="13">
        <v>31350.58</v>
      </c>
      <c r="E30" s="13">
        <f>16634.2406*B2</f>
        <v>16634.240600000001</v>
      </c>
      <c r="F30" s="13">
        <f>D30*E30</f>
        <v>521493090.66954803</v>
      </c>
      <c r="G30" s="14">
        <f>F30/A1</f>
        <v>6.6859079224251636E-3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8"/>
      <c r="BG30" s="13"/>
      <c r="BH30" s="13"/>
      <c r="BI30" s="13"/>
      <c r="BJ30" s="13"/>
      <c r="BK30" s="18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8"/>
      <c r="CN30" s="18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9"/>
    </row>
    <row r="31" spans="1:117" x14ac:dyDescent="0.3">
      <c r="A31" s="12"/>
      <c r="B31" s="13"/>
      <c r="C31" s="13"/>
      <c r="D31" s="13"/>
      <c r="E31" s="13"/>
      <c r="F31" s="13"/>
      <c r="G31" s="1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20">
        <f>+$D30*BF29</f>
        <v>26848.66806258</v>
      </c>
      <c r="BG31" s="13"/>
      <c r="BH31" s="13"/>
      <c r="BI31" s="13"/>
      <c r="BJ31" s="13"/>
      <c r="BK31" s="20">
        <f>+$D30*BK29</f>
        <v>52.88842846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20">
        <f>+$D30*CM29</f>
        <v>3559.2313474000002</v>
      </c>
      <c r="CN31" s="20">
        <f>+$D30*CN29</f>
        <v>889.79216156000007</v>
      </c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21">
        <f>SUM(H31:DL31)</f>
        <v>31350.579999999998</v>
      </c>
    </row>
    <row r="32" spans="1:117" x14ac:dyDescent="0.3">
      <c r="A32" s="12"/>
      <c r="B32" s="13"/>
      <c r="C32" s="13"/>
      <c r="D32" s="13"/>
      <c r="E32" s="13"/>
      <c r="F32" s="13"/>
      <c r="G32" s="1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5">
        <v>0.93501500000000004</v>
      </c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5">
        <v>1.2160000000000001E-3</v>
      </c>
      <c r="CP32" s="15">
        <v>3.8261999999999997E-2</v>
      </c>
      <c r="CQ32" s="15">
        <v>2.5506999999999998E-2</v>
      </c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6">
        <f>SUM(H32:DL32)</f>
        <v>1</v>
      </c>
    </row>
    <row r="33" spans="1:117" x14ac:dyDescent="0.3">
      <c r="A33" s="17" t="s">
        <v>142</v>
      </c>
      <c r="B33" s="13" t="s">
        <v>143</v>
      </c>
      <c r="C33" s="13" t="s">
        <v>135</v>
      </c>
      <c r="D33" s="13">
        <v>35259.360000000001</v>
      </c>
      <c r="E33" s="13">
        <f>15776.6321*B2</f>
        <v>15776.632100000001</v>
      </c>
      <c r="F33" s="13">
        <f>D33*E33</f>
        <v>556273950.80145609</v>
      </c>
      <c r="G33" s="14">
        <f>F33/A1</f>
        <v>7.1318229929510724E-3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8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8"/>
      <c r="CP33" s="18"/>
      <c r="CQ33" s="18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9"/>
    </row>
    <row r="34" spans="1:117" x14ac:dyDescent="0.3">
      <c r="A34" s="12"/>
      <c r="B34" s="13"/>
      <c r="C34" s="13"/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20">
        <f>+$D33*BF32</f>
        <v>32968.0304904</v>
      </c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20">
        <f>+$D33*CO32</f>
        <v>42.875381760000003</v>
      </c>
      <c r="CP34" s="20">
        <f>+$D33*CP32</f>
        <v>1349.0936323199999</v>
      </c>
      <c r="CQ34" s="20">
        <f>+$D33*CQ32</f>
        <v>899.36049551999997</v>
      </c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21">
        <f>SUM(H34:DL34)</f>
        <v>35259.360000000001</v>
      </c>
    </row>
    <row r="35" spans="1:117" x14ac:dyDescent="0.3">
      <c r="A35" s="12"/>
      <c r="B35" s="13"/>
      <c r="C35" s="13"/>
      <c r="D35" s="13"/>
      <c r="E35" s="13"/>
      <c r="F35" s="13"/>
      <c r="G35" s="14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5">
        <v>0.98283799999999999</v>
      </c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5">
        <v>8.5810000000000001E-3</v>
      </c>
      <c r="CS35" s="15">
        <v>8.5800000000000008E-3</v>
      </c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6">
        <f>SUM(H35:DL35)</f>
        <v>0.99999899999999997</v>
      </c>
    </row>
    <row r="36" spans="1:117" x14ac:dyDescent="0.3">
      <c r="A36" s="17" t="s">
        <v>144</v>
      </c>
      <c r="B36" s="13" t="s">
        <v>145</v>
      </c>
      <c r="C36" s="13" t="s">
        <v>135</v>
      </c>
      <c r="D36" s="13">
        <v>23852.14</v>
      </c>
      <c r="E36" s="13">
        <f>14369.2224*B2</f>
        <v>14369.222400000001</v>
      </c>
      <c r="F36" s="13">
        <f>D36*E36</f>
        <v>342736704.37593603</v>
      </c>
      <c r="G36" s="14">
        <f>F36/A1</f>
        <v>4.3941254219703732E-3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8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8"/>
      <c r="CS36" s="18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9"/>
    </row>
    <row r="37" spans="1:117" x14ac:dyDescent="0.3">
      <c r="A37" s="12"/>
      <c r="B37" s="13"/>
      <c r="C37" s="13"/>
      <c r="D37" s="13"/>
      <c r="E37" s="13"/>
      <c r="F37" s="13"/>
      <c r="G37" s="1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20">
        <f>+$D36*BF35</f>
        <v>23442.789573319998</v>
      </c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20">
        <f>+$D36*CR35</f>
        <v>204.67521334</v>
      </c>
      <c r="CS37" s="20">
        <f>+$D36*CS35</f>
        <v>204.65136120000003</v>
      </c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21">
        <f>SUM(H37:DL37)</f>
        <v>23852.116147860001</v>
      </c>
    </row>
    <row r="38" spans="1:117" x14ac:dyDescent="0.3">
      <c r="A38" s="12"/>
      <c r="B38" s="13"/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5">
        <v>0.91661400000000004</v>
      </c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5">
        <v>6.2539999999999998E-2</v>
      </c>
      <c r="CR38" s="15">
        <v>2.0846E-2</v>
      </c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6">
        <f>SUM(H38:DL38)</f>
        <v>1</v>
      </c>
    </row>
    <row r="39" spans="1:117" x14ac:dyDescent="0.3">
      <c r="A39" s="17" t="s">
        <v>146</v>
      </c>
      <c r="B39" s="13" t="s">
        <v>147</v>
      </c>
      <c r="C39" s="13" t="s">
        <v>135</v>
      </c>
      <c r="D39" s="13">
        <v>3372.97</v>
      </c>
      <c r="E39" s="13">
        <f>20482.4597*B2</f>
        <v>20482.459699999999</v>
      </c>
      <c r="F39" s="13">
        <f>D39*E39</f>
        <v>69086722.094308987</v>
      </c>
      <c r="G39" s="14">
        <f>F39/A1</f>
        <v>8.8574033069485235E-4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8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8"/>
      <c r="CR39" s="18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9"/>
    </row>
    <row r="40" spans="1:117" x14ac:dyDescent="0.3">
      <c r="A40" s="12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20">
        <f>+$D39*BF38</f>
        <v>3091.7115235800002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20">
        <f>+$D39*CQ38</f>
        <v>210.9455438</v>
      </c>
      <c r="CR40" s="20">
        <f>+$D39*CR38</f>
        <v>70.312932619999998</v>
      </c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21">
        <f>SUM(H40:DL40)</f>
        <v>3372.9700000000003</v>
      </c>
    </row>
    <row r="41" spans="1:117" x14ac:dyDescent="0.3">
      <c r="A41" s="12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5">
        <v>0.93335999999999997</v>
      </c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5">
        <v>3.3320000000000002E-2</v>
      </c>
      <c r="DB41" s="15">
        <v>3.3320000000000002E-2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6">
        <f>SUM(H41:DL41)</f>
        <v>1</v>
      </c>
    </row>
    <row r="42" spans="1:117" x14ac:dyDescent="0.3">
      <c r="A42" s="17" t="s">
        <v>148</v>
      </c>
      <c r="B42" s="13" t="s">
        <v>149</v>
      </c>
      <c r="C42" s="13" t="s">
        <v>135</v>
      </c>
      <c r="D42" s="13">
        <v>7154.43</v>
      </c>
      <c r="E42" s="13">
        <f>17803.5747*B2</f>
        <v>17803.574700000001</v>
      </c>
      <c r="F42" s="13">
        <f>D42*E42</f>
        <v>127374428.94092101</v>
      </c>
      <c r="G42" s="14">
        <f>F42/A1</f>
        <v>1.6330296964761183E-3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8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8"/>
      <c r="DB42" s="18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9"/>
    </row>
    <row r="43" spans="1:117" x14ac:dyDescent="0.3">
      <c r="A43" s="12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20">
        <f>+$D42*BF41</f>
        <v>6677.6587847999999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20">
        <f>+$D42*DA41</f>
        <v>238.38560760000001</v>
      </c>
      <c r="DB43" s="20">
        <f>+$D42*DB41</f>
        <v>238.38560760000001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21">
        <f>SUM(H43:DL43)</f>
        <v>7154.43</v>
      </c>
    </row>
    <row r="44" spans="1:117" x14ac:dyDescent="0.3">
      <c r="A44" s="12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5">
        <v>0.98297199999999996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5">
        <v>8.5140000000000007E-3</v>
      </c>
      <c r="CN44" s="15">
        <v>8.5140000000000007E-3</v>
      </c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6">
        <f>SUM(H44:DL44)</f>
        <v>1</v>
      </c>
    </row>
    <row r="45" spans="1:117" x14ac:dyDescent="0.3">
      <c r="A45" s="17" t="s">
        <v>150</v>
      </c>
      <c r="B45" s="13" t="s">
        <v>151</v>
      </c>
      <c r="C45" s="13" t="s">
        <v>135</v>
      </c>
      <c r="D45" s="13">
        <v>9319.57</v>
      </c>
      <c r="E45" s="13">
        <f>14194.0057*B2</f>
        <v>14194.0057</v>
      </c>
      <c r="F45" s="13">
        <f>D45*E45</f>
        <v>132282029.70154899</v>
      </c>
      <c r="G45" s="14">
        <f>F45/A1</f>
        <v>1.6959485872392829E-3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8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8"/>
      <c r="CN45" s="18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9"/>
    </row>
    <row r="46" spans="1:117" x14ac:dyDescent="0.3">
      <c r="A46" s="12"/>
      <c r="B46" s="13"/>
      <c r="C46" s="13"/>
      <c r="D46" s="13"/>
      <c r="E46" s="13"/>
      <c r="F46" s="13"/>
      <c r="G46" s="1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20">
        <f>+$D45*BF44</f>
        <v>9160.8763620399986</v>
      </c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20">
        <f>+$D45*CM44</f>
        <v>79.346818980000009</v>
      </c>
      <c r="CN46" s="20">
        <f>+$D45*CN44</f>
        <v>79.346818980000009</v>
      </c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21">
        <f>SUM(H46:DL46)</f>
        <v>9319.57</v>
      </c>
    </row>
    <row r="47" spans="1:117" x14ac:dyDescent="0.3">
      <c r="A47" s="12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5">
        <v>1</v>
      </c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6">
        <f>SUM(H47:DL47)</f>
        <v>1</v>
      </c>
    </row>
    <row r="48" spans="1:117" x14ac:dyDescent="0.3">
      <c r="A48" s="17" t="s">
        <v>152</v>
      </c>
      <c r="B48" s="13" t="s">
        <v>153</v>
      </c>
      <c r="C48" s="13" t="s">
        <v>135</v>
      </c>
      <c r="D48" s="13">
        <v>26034.07</v>
      </c>
      <c r="E48" s="13">
        <f>20659.0192*B2</f>
        <v>20659.019199999999</v>
      </c>
      <c r="F48" s="13">
        <f>D48*E48</f>
        <v>537838351.98414397</v>
      </c>
      <c r="G48" s="14">
        <f>F48/A1</f>
        <v>6.8954656597617365E-3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8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9"/>
    </row>
    <row r="49" spans="1:117" x14ac:dyDescent="0.3">
      <c r="A49" s="12"/>
      <c r="B49" s="13"/>
      <c r="C49" s="13"/>
      <c r="D49" s="13"/>
      <c r="E49" s="13"/>
      <c r="F49" s="13"/>
      <c r="G49" s="1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20">
        <f>+$D48*BF47</f>
        <v>26034.07</v>
      </c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21">
        <f>SUM(H49:DL49)</f>
        <v>26034.07</v>
      </c>
    </row>
    <row r="50" spans="1:117" x14ac:dyDescent="0.3">
      <c r="A50" s="12"/>
      <c r="B50" s="13"/>
      <c r="C50" s="13"/>
      <c r="D50" s="13"/>
      <c r="E50" s="13"/>
      <c r="F50" s="13"/>
      <c r="G50" s="1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5">
        <v>2.5031999999999999E-2</v>
      </c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5">
        <v>3.8998999999999999E-2</v>
      </c>
      <c r="CN50" s="15">
        <v>3.8998999999999999E-2</v>
      </c>
      <c r="CO50" s="15">
        <v>3.8998999999999999E-2</v>
      </c>
      <c r="CP50" s="15">
        <v>3.8998999999999999E-2</v>
      </c>
      <c r="CQ50" s="15">
        <v>3.8998999999999999E-2</v>
      </c>
      <c r="CR50" s="15">
        <v>3.8998999999999999E-2</v>
      </c>
      <c r="CS50" s="15">
        <v>3.8998999999999999E-2</v>
      </c>
      <c r="CT50" s="15">
        <v>3.8998999999999999E-2</v>
      </c>
      <c r="CU50" s="15">
        <v>3.8998999999999999E-2</v>
      </c>
      <c r="CV50" s="15">
        <v>3.8998999999999999E-2</v>
      </c>
      <c r="CW50" s="15">
        <v>3.8998999999999999E-2</v>
      </c>
      <c r="CX50" s="15">
        <v>3.8998999999999999E-2</v>
      </c>
      <c r="CY50" s="15">
        <v>3.8998999999999999E-2</v>
      </c>
      <c r="CZ50" s="15">
        <v>3.8998999999999999E-2</v>
      </c>
      <c r="DA50" s="15">
        <v>3.8998999999999999E-2</v>
      </c>
      <c r="DB50" s="15">
        <v>3.8998999999999999E-2</v>
      </c>
      <c r="DC50" s="15">
        <v>3.8998999999999999E-2</v>
      </c>
      <c r="DD50" s="15">
        <v>3.8998999999999999E-2</v>
      </c>
      <c r="DE50" s="15">
        <v>3.8998999999999999E-2</v>
      </c>
      <c r="DF50" s="15">
        <v>3.8998999999999999E-2</v>
      </c>
      <c r="DG50" s="15">
        <v>3.8998999999999999E-2</v>
      </c>
      <c r="DH50" s="15">
        <v>3.8998999999999999E-2</v>
      </c>
      <c r="DI50" s="15">
        <v>3.8998999999999999E-2</v>
      </c>
      <c r="DJ50" s="15">
        <v>3.8998999999999999E-2</v>
      </c>
      <c r="DK50" s="15">
        <v>3.8991999999999999E-2</v>
      </c>
      <c r="DL50" s="13"/>
      <c r="DM50" s="16">
        <f>SUM(H50:DL50)</f>
        <v>1</v>
      </c>
    </row>
    <row r="51" spans="1:117" x14ac:dyDescent="0.3">
      <c r="A51" s="17" t="s">
        <v>154</v>
      </c>
      <c r="B51" s="13" t="s">
        <v>155</v>
      </c>
      <c r="C51" s="13" t="s">
        <v>135</v>
      </c>
      <c r="D51" s="13">
        <v>145181.70000000001</v>
      </c>
      <c r="E51" s="13">
        <f>9142.757*B2</f>
        <v>9142.7569999999996</v>
      </c>
      <c r="F51" s="13">
        <f>D51*E51</f>
        <v>1327361003.9469001</v>
      </c>
      <c r="G51" s="14">
        <f>F51/A1</f>
        <v>1.701770092641617E-2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8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3"/>
      <c r="DM51" s="19"/>
    </row>
    <row r="52" spans="1:117" x14ac:dyDescent="0.3">
      <c r="A52" s="12"/>
      <c r="B52" s="13"/>
      <c r="C52" s="13"/>
      <c r="D52" s="13"/>
      <c r="E52" s="13"/>
      <c r="F52" s="13"/>
      <c r="G52" s="1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20">
        <f>+$D51*BF50</f>
        <v>3634.1883144000003</v>
      </c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20">
        <f t="shared" ref="CM52:DK52" si="2">+$D51*CM50</f>
        <v>5661.9411183000002</v>
      </c>
      <c r="CN52" s="20">
        <f t="shared" si="2"/>
        <v>5661.9411183000002</v>
      </c>
      <c r="CO52" s="20">
        <f t="shared" si="2"/>
        <v>5661.9411183000002</v>
      </c>
      <c r="CP52" s="20">
        <f t="shared" si="2"/>
        <v>5661.9411183000002</v>
      </c>
      <c r="CQ52" s="20">
        <f t="shared" si="2"/>
        <v>5661.9411183000002</v>
      </c>
      <c r="CR52" s="20">
        <f t="shared" si="2"/>
        <v>5661.9411183000002</v>
      </c>
      <c r="CS52" s="20">
        <f t="shared" si="2"/>
        <v>5661.9411183000002</v>
      </c>
      <c r="CT52" s="20">
        <f t="shared" si="2"/>
        <v>5661.9411183000002</v>
      </c>
      <c r="CU52" s="20">
        <f t="shared" si="2"/>
        <v>5661.9411183000002</v>
      </c>
      <c r="CV52" s="20">
        <f t="shared" si="2"/>
        <v>5661.9411183000002</v>
      </c>
      <c r="CW52" s="20">
        <f t="shared" si="2"/>
        <v>5661.9411183000002</v>
      </c>
      <c r="CX52" s="20">
        <f t="shared" si="2"/>
        <v>5661.9411183000002</v>
      </c>
      <c r="CY52" s="20">
        <f t="shared" si="2"/>
        <v>5661.9411183000002</v>
      </c>
      <c r="CZ52" s="20">
        <f t="shared" si="2"/>
        <v>5661.9411183000002</v>
      </c>
      <c r="DA52" s="20">
        <f t="shared" si="2"/>
        <v>5661.9411183000002</v>
      </c>
      <c r="DB52" s="20">
        <f t="shared" si="2"/>
        <v>5661.9411183000002</v>
      </c>
      <c r="DC52" s="20">
        <f t="shared" si="2"/>
        <v>5661.9411183000002</v>
      </c>
      <c r="DD52" s="20">
        <f t="shared" si="2"/>
        <v>5661.9411183000002</v>
      </c>
      <c r="DE52" s="20">
        <f t="shared" si="2"/>
        <v>5661.9411183000002</v>
      </c>
      <c r="DF52" s="20">
        <f t="shared" si="2"/>
        <v>5661.9411183000002</v>
      </c>
      <c r="DG52" s="20">
        <f t="shared" si="2"/>
        <v>5661.9411183000002</v>
      </c>
      <c r="DH52" s="20">
        <f t="shared" si="2"/>
        <v>5661.9411183000002</v>
      </c>
      <c r="DI52" s="20">
        <f t="shared" si="2"/>
        <v>5661.9411183000002</v>
      </c>
      <c r="DJ52" s="20">
        <f t="shared" si="2"/>
        <v>5661.9411183000002</v>
      </c>
      <c r="DK52" s="20">
        <f t="shared" si="2"/>
        <v>5660.9248464000002</v>
      </c>
      <c r="DL52" s="13"/>
      <c r="DM52" s="21">
        <f>SUM(H52:DL52)</f>
        <v>145181.70000000004</v>
      </c>
    </row>
    <row r="53" spans="1:117" x14ac:dyDescent="0.3">
      <c r="A53" s="12"/>
      <c r="B53" s="13"/>
      <c r="C53" s="13"/>
      <c r="D53" s="13"/>
      <c r="E53" s="13"/>
      <c r="F53" s="13"/>
      <c r="G53" s="1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5">
        <v>0.8</v>
      </c>
      <c r="CO53" s="15">
        <v>0.2</v>
      </c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6">
        <f>SUM(H53:DL53)</f>
        <v>1</v>
      </c>
    </row>
    <row r="54" spans="1:117" x14ac:dyDescent="0.3">
      <c r="A54" s="17" t="s">
        <v>156</v>
      </c>
      <c r="B54" s="13" t="s">
        <v>157</v>
      </c>
      <c r="C54" s="13" t="s">
        <v>135</v>
      </c>
      <c r="D54" s="13">
        <v>7396.96</v>
      </c>
      <c r="E54" s="13">
        <f>6744.7362*B2</f>
        <v>6744.7362000000003</v>
      </c>
      <c r="F54" s="13">
        <f>D54*E54</f>
        <v>49890543.881952003</v>
      </c>
      <c r="G54" s="14">
        <f>F54/A1</f>
        <v>6.3963183513357567E-4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8"/>
      <c r="CO54" s="18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9"/>
    </row>
    <row r="55" spans="1:117" x14ac:dyDescent="0.3">
      <c r="A55" s="12"/>
      <c r="B55" s="13"/>
      <c r="C55" s="13"/>
      <c r="D55" s="13"/>
      <c r="E55" s="13"/>
      <c r="F55" s="13"/>
      <c r="G55" s="1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20">
        <f>+$D54*CN53</f>
        <v>5917.5680000000002</v>
      </c>
      <c r="CO55" s="20">
        <f>+$D54*CO53</f>
        <v>1479.3920000000001</v>
      </c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21">
        <f>SUM(H55:DL55)</f>
        <v>7396.96</v>
      </c>
    </row>
    <row r="56" spans="1:117" x14ac:dyDescent="0.3">
      <c r="A56" s="12"/>
      <c r="B56" s="13"/>
      <c r="C56" s="13"/>
      <c r="D56" s="13"/>
      <c r="E56" s="13"/>
      <c r="F56" s="13"/>
      <c r="G56" s="1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5">
        <v>0.6</v>
      </c>
      <c r="CO56" s="15">
        <v>0.4</v>
      </c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6">
        <f>SUM(H56:DL56)</f>
        <v>1</v>
      </c>
    </row>
    <row r="57" spans="1:117" x14ac:dyDescent="0.3">
      <c r="A57" s="17" t="s">
        <v>158</v>
      </c>
      <c r="B57" s="13" t="s">
        <v>159</v>
      </c>
      <c r="C57" s="13" t="s">
        <v>135</v>
      </c>
      <c r="D57" s="13">
        <v>4314.4399999999996</v>
      </c>
      <c r="E57" s="13">
        <f>12858.867*B2</f>
        <v>12858.867</v>
      </c>
      <c r="F57" s="13">
        <f>D57*E57</f>
        <v>55478810.139479995</v>
      </c>
      <c r="G57" s="14">
        <f>F57/A1</f>
        <v>7.1127733593178864E-4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8"/>
      <c r="CO57" s="18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9"/>
    </row>
    <row r="58" spans="1:117" x14ac:dyDescent="0.3">
      <c r="A58" s="12"/>
      <c r="B58" s="13"/>
      <c r="C58" s="13"/>
      <c r="D58" s="13"/>
      <c r="E58" s="13"/>
      <c r="F58" s="13"/>
      <c r="G58" s="1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20">
        <f>+$D57*CN56</f>
        <v>2588.6639999999998</v>
      </c>
      <c r="CO58" s="20">
        <f>+$D57*CO56</f>
        <v>1725.7759999999998</v>
      </c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21">
        <f>SUM(H58:DL58)</f>
        <v>4314.4399999999996</v>
      </c>
    </row>
    <row r="59" spans="1:117" x14ac:dyDescent="0.3">
      <c r="A59" s="8" t="s">
        <v>160</v>
      </c>
      <c r="B59" s="9" t="s">
        <v>161</v>
      </c>
      <c r="C59" s="9"/>
      <c r="D59" s="9"/>
      <c r="E59" s="9"/>
      <c r="F59" s="9"/>
      <c r="G59" s="1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11"/>
    </row>
    <row r="60" spans="1:117" x14ac:dyDescent="0.3">
      <c r="A60" s="12"/>
      <c r="B60" s="13"/>
      <c r="C60" s="13"/>
      <c r="D60" s="13"/>
      <c r="E60" s="13"/>
      <c r="F60" s="13"/>
      <c r="G60" s="1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6">
        <f>SUM(H60:DL60)</f>
        <v>0</v>
      </c>
    </row>
    <row r="61" spans="1:117" x14ac:dyDescent="0.3">
      <c r="A61" s="17" t="s">
        <v>162</v>
      </c>
      <c r="B61" s="13" t="s">
        <v>163</v>
      </c>
      <c r="C61" s="13" t="s">
        <v>135</v>
      </c>
      <c r="D61" s="13">
        <v>0</v>
      </c>
      <c r="E61" s="13">
        <f>0*B2</f>
        <v>0</v>
      </c>
      <c r="F61" s="13">
        <f>D61*E61</f>
        <v>0</v>
      </c>
      <c r="G61" s="14">
        <f>F61/A1</f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9"/>
    </row>
    <row r="62" spans="1:117" x14ac:dyDescent="0.3">
      <c r="A62" s="12"/>
      <c r="B62" s="13"/>
      <c r="C62" s="13"/>
      <c r="D62" s="13"/>
      <c r="E62" s="13"/>
      <c r="F62" s="13"/>
      <c r="G62" s="14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21">
        <f>SUM(H62:DL62)</f>
        <v>0</v>
      </c>
    </row>
    <row r="63" spans="1:117" x14ac:dyDescent="0.3">
      <c r="A63" s="12"/>
      <c r="B63" s="13"/>
      <c r="C63" s="13"/>
      <c r="D63" s="13"/>
      <c r="E63" s="13"/>
      <c r="F63" s="13"/>
      <c r="G63" s="1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5">
        <v>0.97017600000000004</v>
      </c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5">
        <v>7.456E-3</v>
      </c>
      <c r="CT63" s="15">
        <v>7.456E-3</v>
      </c>
      <c r="CU63" s="15">
        <v>7.456E-3</v>
      </c>
      <c r="CV63" s="15">
        <v>7.456E-3</v>
      </c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6">
        <f>SUM(H63:DL63)</f>
        <v>1</v>
      </c>
    </row>
    <row r="64" spans="1:117" x14ac:dyDescent="0.3">
      <c r="A64" s="17" t="s">
        <v>164</v>
      </c>
      <c r="B64" s="13" t="s">
        <v>165</v>
      </c>
      <c r="C64" s="13" t="s">
        <v>135</v>
      </c>
      <c r="D64" s="13">
        <v>1233.56</v>
      </c>
      <c r="E64" s="13">
        <f>186730.3797*B2</f>
        <v>186730.37969999999</v>
      </c>
      <c r="F64" s="13">
        <f>D64*E64</f>
        <v>230343127.18273199</v>
      </c>
      <c r="G64" s="14">
        <f>F64/A1</f>
        <v>2.9531607732902693E-3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8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8"/>
      <c r="CT64" s="18"/>
      <c r="CU64" s="18"/>
      <c r="CV64" s="18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9"/>
    </row>
    <row r="65" spans="1:117" x14ac:dyDescent="0.3">
      <c r="A65" s="12"/>
      <c r="B65" s="13"/>
      <c r="C65" s="13"/>
      <c r="D65" s="13"/>
      <c r="E65" s="13"/>
      <c r="F65" s="13"/>
      <c r="G65" s="14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20">
        <f>+$D64*BF63</f>
        <v>1196.7703065599999</v>
      </c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20">
        <f>+$D64*CS63</f>
        <v>9.1974233600000002</v>
      </c>
      <c r="CT65" s="20">
        <f>+$D64*CT63</f>
        <v>9.1974233600000002</v>
      </c>
      <c r="CU65" s="20">
        <f>+$D64*CU63</f>
        <v>9.1974233600000002</v>
      </c>
      <c r="CV65" s="20">
        <f>+$D64*CV63</f>
        <v>9.1974233600000002</v>
      </c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21">
        <f>SUM(H65:DL65)</f>
        <v>1233.5599999999995</v>
      </c>
    </row>
    <row r="66" spans="1:117" x14ac:dyDescent="0.3">
      <c r="A66" s="12"/>
      <c r="B66" s="13"/>
      <c r="C66" s="13"/>
      <c r="D66" s="13"/>
      <c r="E66" s="13"/>
      <c r="F66" s="13"/>
      <c r="G66" s="14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5">
        <v>0.5</v>
      </c>
      <c r="CL66" s="15">
        <v>0.5</v>
      </c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6">
        <f>SUM(H66:DL66)</f>
        <v>1</v>
      </c>
    </row>
    <row r="67" spans="1:117" x14ac:dyDescent="0.3">
      <c r="A67" s="17" t="s">
        <v>166</v>
      </c>
      <c r="B67" s="13" t="s">
        <v>167</v>
      </c>
      <c r="C67" s="13" t="s">
        <v>135</v>
      </c>
      <c r="D67" s="13">
        <v>112.25</v>
      </c>
      <c r="E67" s="13">
        <f>79918.8*B2</f>
        <v>79918.8</v>
      </c>
      <c r="F67" s="13">
        <f>D67*E67</f>
        <v>8970885.3000000007</v>
      </c>
      <c r="G67" s="14">
        <f>F67/A1</f>
        <v>1.150130541929725E-4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8"/>
      <c r="CL67" s="18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9"/>
    </row>
    <row r="68" spans="1:117" x14ac:dyDescent="0.3">
      <c r="A68" s="12"/>
      <c r="B68" s="13"/>
      <c r="C68" s="13"/>
      <c r="D68" s="13"/>
      <c r="E68" s="13"/>
      <c r="F68" s="13"/>
      <c r="G68" s="1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20">
        <f>+$D67*CK66</f>
        <v>56.125</v>
      </c>
      <c r="CL68" s="20">
        <f>+$D67*CL66</f>
        <v>56.125</v>
      </c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21">
        <f>SUM(H68:DL68)</f>
        <v>112.25</v>
      </c>
    </row>
    <row r="69" spans="1:117" x14ac:dyDescent="0.3">
      <c r="A69" s="12"/>
      <c r="B69" s="13"/>
      <c r="C69" s="13"/>
      <c r="D69" s="13"/>
      <c r="E69" s="13"/>
      <c r="F69" s="13"/>
      <c r="G69" s="14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5">
        <v>0.84472700000000001</v>
      </c>
      <c r="BG69" s="13"/>
      <c r="BH69" s="13"/>
      <c r="BI69" s="13"/>
      <c r="BJ69" s="13"/>
      <c r="BK69" s="15">
        <v>1.879E-3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5">
        <v>0.10226300000000001</v>
      </c>
      <c r="CN69" s="15">
        <v>5.1131000000000003E-2</v>
      </c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6">
        <f>SUM(H69:DL69)</f>
        <v>1</v>
      </c>
    </row>
    <row r="70" spans="1:117" x14ac:dyDescent="0.3">
      <c r="A70" s="17" t="s">
        <v>168</v>
      </c>
      <c r="B70" s="13" t="s">
        <v>169</v>
      </c>
      <c r="C70" s="13" t="s">
        <v>135</v>
      </c>
      <c r="D70" s="13">
        <v>896.51</v>
      </c>
      <c r="E70" s="13">
        <f>229967.7155*B2</f>
        <v>229967.71549999999</v>
      </c>
      <c r="F70" s="13">
        <f>D70*E70</f>
        <v>206168356.62290499</v>
      </c>
      <c r="G70" s="14">
        <f>F70/A1</f>
        <v>2.6432232249303479E-3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8"/>
      <c r="BG70" s="13"/>
      <c r="BH70" s="13"/>
      <c r="BI70" s="13"/>
      <c r="BJ70" s="13"/>
      <c r="BK70" s="18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8"/>
      <c r="CN70" s="18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9"/>
    </row>
    <row r="71" spans="1:117" x14ac:dyDescent="0.3">
      <c r="A71" s="12"/>
      <c r="B71" s="13"/>
      <c r="C71" s="13"/>
      <c r="D71" s="13"/>
      <c r="E71" s="13"/>
      <c r="F71" s="13"/>
      <c r="G71" s="1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20">
        <f>+$D70*BF69</f>
        <v>757.30620277000003</v>
      </c>
      <c r="BG71" s="13"/>
      <c r="BH71" s="13"/>
      <c r="BI71" s="13"/>
      <c r="BJ71" s="13"/>
      <c r="BK71" s="20">
        <f>+$D70*BK69</f>
        <v>1.68454229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20">
        <f>+$D70*CM69</f>
        <v>91.679802129999999</v>
      </c>
      <c r="CN71" s="20">
        <f>+$D70*CN69</f>
        <v>45.839452810000004</v>
      </c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21">
        <f>SUM(H71:DL71)</f>
        <v>896.51</v>
      </c>
    </row>
    <row r="72" spans="1:117" x14ac:dyDescent="0.3">
      <c r="A72" s="12"/>
      <c r="B72" s="13"/>
      <c r="C72" s="13"/>
      <c r="D72" s="13"/>
      <c r="E72" s="13"/>
      <c r="F72" s="13"/>
      <c r="G72" s="1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5">
        <v>0.94796599999999998</v>
      </c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5">
        <v>1.0407E-2</v>
      </c>
      <c r="CP72" s="15">
        <v>3.1220999999999999E-2</v>
      </c>
      <c r="CQ72" s="15">
        <v>1.0406E-2</v>
      </c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6">
        <f>SUM(H72:DL72)</f>
        <v>0.99999999999999989</v>
      </c>
    </row>
    <row r="73" spans="1:117" x14ac:dyDescent="0.3">
      <c r="A73" s="17" t="s">
        <v>170</v>
      </c>
      <c r="B73" s="13" t="s">
        <v>171</v>
      </c>
      <c r="C73" s="13" t="s">
        <v>135</v>
      </c>
      <c r="D73" s="13">
        <v>947.83</v>
      </c>
      <c r="E73" s="13">
        <f>231994.1329*B2</f>
        <v>231994.1329</v>
      </c>
      <c r="F73" s="13">
        <f>D73*E73</f>
        <v>219890998.98660702</v>
      </c>
      <c r="G73" s="14">
        <f>F73/A1</f>
        <v>2.8191571441665286E-3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8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8"/>
      <c r="CP73" s="18"/>
      <c r="CQ73" s="18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9"/>
    </row>
    <row r="74" spans="1:117" x14ac:dyDescent="0.3">
      <c r="A74" s="12"/>
      <c r="B74" s="13"/>
      <c r="C74" s="13"/>
      <c r="D74" s="13"/>
      <c r="E74" s="13"/>
      <c r="F74" s="13"/>
      <c r="G74" s="14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20">
        <f>+$D73*BF72</f>
        <v>898.51061377999997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20">
        <f>+$D73*CO72</f>
        <v>9.8640668100000006</v>
      </c>
      <c r="CP74" s="20">
        <f>+$D73*CP72</f>
        <v>29.592200429999998</v>
      </c>
      <c r="CQ74" s="20">
        <f>+$D73*CQ72</f>
        <v>9.8631189800000012</v>
      </c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21">
        <f>SUM(H74:DL74)</f>
        <v>947.83</v>
      </c>
    </row>
    <row r="75" spans="1:117" x14ac:dyDescent="0.3">
      <c r="A75" s="12"/>
      <c r="B75" s="13"/>
      <c r="C75" s="13"/>
      <c r="D75" s="13"/>
      <c r="E75" s="13"/>
      <c r="F75" s="13"/>
      <c r="G75" s="1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5">
        <v>0.98325200000000001</v>
      </c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5">
        <v>8.3739999999999995E-3</v>
      </c>
      <c r="CS75" s="15">
        <v>8.3739999999999995E-3</v>
      </c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6">
        <f>SUM(H75:DL75)</f>
        <v>1</v>
      </c>
    </row>
    <row r="76" spans="1:117" x14ac:dyDescent="0.3">
      <c r="A76" s="17" t="s">
        <v>172</v>
      </c>
      <c r="B76" s="13" t="s">
        <v>173</v>
      </c>
      <c r="C76" s="13" t="s">
        <v>135</v>
      </c>
      <c r="D76" s="13">
        <v>732.63</v>
      </c>
      <c r="E76" s="13">
        <f>186730.3797*B2</f>
        <v>186730.37969999999</v>
      </c>
      <c r="F76" s="13">
        <f>D76*E76</f>
        <v>136804278.079611</v>
      </c>
      <c r="G76" s="14">
        <f>F76/A1</f>
        <v>1.7539269896362155E-3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8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8"/>
      <c r="CS76" s="18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9"/>
    </row>
    <row r="77" spans="1:117" x14ac:dyDescent="0.3">
      <c r="A77" s="12"/>
      <c r="B77" s="13"/>
      <c r="C77" s="13"/>
      <c r="D77" s="13"/>
      <c r="E77" s="13"/>
      <c r="F77" s="13"/>
      <c r="G77" s="14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20">
        <f>+$D76*BF75</f>
        <v>720.35991276000004</v>
      </c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20">
        <f>+$D76*CR75</f>
        <v>6.1350436199999994</v>
      </c>
      <c r="CS77" s="20">
        <f>+$D76*CS75</f>
        <v>6.1350436199999994</v>
      </c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21">
        <f>SUM(H77:DL77)</f>
        <v>732.63000000000011</v>
      </c>
    </row>
    <row r="78" spans="1:117" x14ac:dyDescent="0.3">
      <c r="A78" s="12"/>
      <c r="B78" s="13"/>
      <c r="C78" s="13"/>
      <c r="D78" s="13"/>
      <c r="E78" s="13"/>
      <c r="F78" s="13"/>
      <c r="G78" s="1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5">
        <v>0.92633100000000002</v>
      </c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5">
        <v>5.5252000000000002E-2</v>
      </c>
      <c r="CR78" s="15">
        <v>1.8416999999999999E-2</v>
      </c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6">
        <f>SUM(H78:DL78)</f>
        <v>1</v>
      </c>
    </row>
    <row r="79" spans="1:117" x14ac:dyDescent="0.3">
      <c r="A79" s="17" t="s">
        <v>174</v>
      </c>
      <c r="B79" s="13" t="s">
        <v>175</v>
      </c>
      <c r="C79" s="13" t="s">
        <v>135</v>
      </c>
      <c r="D79" s="13">
        <v>109.14</v>
      </c>
      <c r="E79" s="13">
        <f>249495.834*B2</f>
        <v>249495.834</v>
      </c>
      <c r="F79" s="13">
        <f>D79*E79</f>
        <v>27229975.322760001</v>
      </c>
      <c r="G79" s="14">
        <f>F79/A1</f>
        <v>3.4910742058756448E-4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8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8"/>
      <c r="CR79" s="18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9"/>
    </row>
    <row r="80" spans="1:117" x14ac:dyDescent="0.3">
      <c r="A80" s="12"/>
      <c r="B80" s="13"/>
      <c r="C80" s="13"/>
      <c r="D80" s="13"/>
      <c r="E80" s="13"/>
      <c r="F80" s="13"/>
      <c r="G80" s="1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20">
        <f>+$D79*BF78</f>
        <v>101.09976534</v>
      </c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20">
        <f>+$D79*CQ78</f>
        <v>6.0302032800000003</v>
      </c>
      <c r="CR80" s="20">
        <f>+$D79*CR78</f>
        <v>2.01003138</v>
      </c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21">
        <f>SUM(H80:DL80)</f>
        <v>109.14</v>
      </c>
    </row>
    <row r="81" spans="1:117" x14ac:dyDescent="0.3">
      <c r="A81" s="12"/>
      <c r="B81" s="13"/>
      <c r="C81" s="13"/>
      <c r="D81" s="13"/>
      <c r="E81" s="13"/>
      <c r="F81" s="13"/>
      <c r="G81" s="14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5">
        <v>0.97128400000000004</v>
      </c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5">
        <v>1.4357999999999999E-2</v>
      </c>
      <c r="DB81" s="15">
        <v>1.4357999999999999E-2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6">
        <f>SUM(H81:DL81)</f>
        <v>1</v>
      </c>
    </row>
    <row r="82" spans="1:117" x14ac:dyDescent="0.3">
      <c r="A82" s="17" t="s">
        <v>176</v>
      </c>
      <c r="B82" s="13" t="s">
        <v>177</v>
      </c>
      <c r="C82" s="13" t="s">
        <v>135</v>
      </c>
      <c r="D82" s="13">
        <v>219.04</v>
      </c>
      <c r="E82" s="13">
        <f>229967.7155*B2</f>
        <v>229967.71549999999</v>
      </c>
      <c r="F82" s="13">
        <f>D82*E82</f>
        <v>50372128.403119996</v>
      </c>
      <c r="G82" s="14">
        <f>F82/A1</f>
        <v>6.4580608714765407E-4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8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8"/>
      <c r="DB82" s="18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9"/>
    </row>
    <row r="83" spans="1:117" x14ac:dyDescent="0.3">
      <c r="A83" s="12"/>
      <c r="B83" s="13"/>
      <c r="C83" s="13"/>
      <c r="D83" s="13"/>
      <c r="E83" s="13"/>
      <c r="F83" s="13"/>
      <c r="G83" s="1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20">
        <f>+$D82*BF81</f>
        <v>212.75004736</v>
      </c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20">
        <f>+$D82*DA81</f>
        <v>3.1449763199999996</v>
      </c>
      <c r="DB83" s="20">
        <f>+$D82*DB81</f>
        <v>3.1449763199999996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21">
        <f>SUM(H83:DL83)</f>
        <v>219.04000000000002</v>
      </c>
    </row>
    <row r="84" spans="1:117" x14ac:dyDescent="0.3">
      <c r="A84" s="12"/>
      <c r="B84" s="13"/>
      <c r="C84" s="13"/>
      <c r="D84" s="13"/>
      <c r="E84" s="13"/>
      <c r="F84" s="13"/>
      <c r="G84" s="1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5">
        <v>0.95607399999999998</v>
      </c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5">
        <v>2.1963E-2</v>
      </c>
      <c r="CN84" s="15">
        <v>2.1963E-2</v>
      </c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6">
        <f>SUM(H84:DL84)</f>
        <v>0.99999999999999989</v>
      </c>
    </row>
    <row r="85" spans="1:117" x14ac:dyDescent="0.3">
      <c r="A85" s="17" t="s">
        <v>178</v>
      </c>
      <c r="B85" s="13" t="s">
        <v>179</v>
      </c>
      <c r="C85" s="13" t="s">
        <v>135</v>
      </c>
      <c r="D85" s="13">
        <v>282.75</v>
      </c>
      <c r="E85" s="13">
        <f>186730.3797*B2</f>
        <v>186730.37969999999</v>
      </c>
      <c r="F85" s="13">
        <f>D85*E85</f>
        <v>52798014.860174999</v>
      </c>
      <c r="G85" s="14">
        <f>F85/A1</f>
        <v>6.7690765641543473E-4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8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8"/>
      <c r="CN85" s="18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9"/>
    </row>
    <row r="86" spans="1:117" x14ac:dyDescent="0.3">
      <c r="A86" s="12"/>
      <c r="B86" s="13"/>
      <c r="C86" s="13"/>
      <c r="D86" s="13"/>
      <c r="E86" s="13"/>
      <c r="F86" s="13"/>
      <c r="G86" s="14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20">
        <f>+$D85*BF84</f>
        <v>270.32992350000001</v>
      </c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20">
        <f>+$D85*CM84</f>
        <v>6.2100382500000002</v>
      </c>
      <c r="CN86" s="20">
        <f>+$D85*CN84</f>
        <v>6.2100382500000002</v>
      </c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21">
        <f>SUM(H86:DL86)</f>
        <v>282.75000000000006</v>
      </c>
    </row>
    <row r="87" spans="1:117" x14ac:dyDescent="0.3">
      <c r="A87" s="12"/>
      <c r="B87" s="13"/>
      <c r="C87" s="13"/>
      <c r="D87" s="13"/>
      <c r="E87" s="13"/>
      <c r="F87" s="13"/>
      <c r="G87" s="1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5">
        <v>1</v>
      </c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6">
        <f>SUM(H87:DL87)</f>
        <v>1</v>
      </c>
    </row>
    <row r="88" spans="1:117" x14ac:dyDescent="0.3">
      <c r="A88" s="17" t="s">
        <v>180</v>
      </c>
      <c r="B88" s="13" t="s">
        <v>181</v>
      </c>
      <c r="C88" s="13" t="s">
        <v>135</v>
      </c>
      <c r="D88" s="13">
        <v>912.2</v>
      </c>
      <c r="E88" s="13">
        <f>230651.1796*B2</f>
        <v>230651.1796</v>
      </c>
      <c r="F88" s="13">
        <f>D88*E88</f>
        <v>210400006.03112</v>
      </c>
      <c r="G88" s="14">
        <f>F88/A1</f>
        <v>2.6974759443038408E-3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8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9"/>
    </row>
    <row r="89" spans="1:117" x14ac:dyDescent="0.3">
      <c r="A89" s="12"/>
      <c r="B89" s="13"/>
      <c r="C89" s="13"/>
      <c r="D89" s="13"/>
      <c r="E89" s="13"/>
      <c r="F89" s="13"/>
      <c r="G89" s="14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20">
        <f>+$D88*BF87</f>
        <v>912.2</v>
      </c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21">
        <f>SUM(H89:DL89)</f>
        <v>912.2</v>
      </c>
    </row>
    <row r="90" spans="1:117" x14ac:dyDescent="0.3">
      <c r="A90" s="12"/>
      <c r="B90" s="13"/>
      <c r="C90" s="13"/>
      <c r="D90" s="13"/>
      <c r="E90" s="13"/>
      <c r="F90" s="13"/>
      <c r="G90" s="14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5">
        <v>2.2388999999999999E-2</v>
      </c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5">
        <v>3.9104E-2</v>
      </c>
      <c r="CN90" s="15">
        <v>3.9104E-2</v>
      </c>
      <c r="CO90" s="15">
        <v>3.9104E-2</v>
      </c>
      <c r="CP90" s="15">
        <v>3.9104E-2</v>
      </c>
      <c r="CQ90" s="15">
        <v>3.9104E-2</v>
      </c>
      <c r="CR90" s="15">
        <v>3.9104E-2</v>
      </c>
      <c r="CS90" s="15">
        <v>3.9104E-2</v>
      </c>
      <c r="CT90" s="15">
        <v>3.9104E-2</v>
      </c>
      <c r="CU90" s="15">
        <v>3.9104E-2</v>
      </c>
      <c r="CV90" s="15">
        <v>3.9104E-2</v>
      </c>
      <c r="CW90" s="15">
        <v>3.9104E-2</v>
      </c>
      <c r="CX90" s="15">
        <v>3.9104E-2</v>
      </c>
      <c r="CY90" s="15">
        <v>3.9104E-2</v>
      </c>
      <c r="CZ90" s="15">
        <v>3.9104E-2</v>
      </c>
      <c r="DA90" s="15">
        <v>3.9104E-2</v>
      </c>
      <c r="DB90" s="15">
        <v>3.9104E-2</v>
      </c>
      <c r="DC90" s="15">
        <v>3.9104E-2</v>
      </c>
      <c r="DD90" s="15">
        <v>3.9104E-2</v>
      </c>
      <c r="DE90" s="15">
        <v>3.9104E-2</v>
      </c>
      <c r="DF90" s="15">
        <v>3.9104E-2</v>
      </c>
      <c r="DG90" s="15">
        <v>3.9104E-2</v>
      </c>
      <c r="DH90" s="15">
        <v>3.9104E-2</v>
      </c>
      <c r="DI90" s="15">
        <v>3.9104E-2</v>
      </c>
      <c r="DJ90" s="15">
        <v>3.9104E-2</v>
      </c>
      <c r="DK90" s="15">
        <v>3.9114999999999997E-2</v>
      </c>
      <c r="DL90" s="13"/>
      <c r="DM90" s="16">
        <f>SUM(H90:DL90)</f>
        <v>1.0000000000000004</v>
      </c>
    </row>
    <row r="91" spans="1:117" x14ac:dyDescent="0.3">
      <c r="A91" s="17" t="s">
        <v>182</v>
      </c>
      <c r="B91" s="13" t="s">
        <v>183</v>
      </c>
      <c r="C91" s="13" t="s">
        <v>135</v>
      </c>
      <c r="D91" s="13">
        <v>3541.95</v>
      </c>
      <c r="E91" s="13">
        <f>120111.5022*B2</f>
        <v>120111.5022</v>
      </c>
      <c r="F91" s="13">
        <f>D91*E91</f>
        <v>425428935.21728998</v>
      </c>
      <c r="G91" s="14">
        <f>F91/A1</f>
        <v>5.4542979366155485E-3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8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3"/>
      <c r="DM91" s="19"/>
    </row>
    <row r="92" spans="1:117" x14ac:dyDescent="0.3">
      <c r="A92" s="12"/>
      <c r="B92" s="13"/>
      <c r="C92" s="13"/>
      <c r="D92" s="13"/>
      <c r="E92" s="13"/>
      <c r="F92" s="13"/>
      <c r="G92" s="1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20">
        <f>+$D91*BF90</f>
        <v>79.300718549999999</v>
      </c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20">
        <f t="shared" ref="CM92:DK92" si="3">+$D91*CM90</f>
        <v>138.50441279999998</v>
      </c>
      <c r="CN92" s="20">
        <f t="shared" si="3"/>
        <v>138.50441279999998</v>
      </c>
      <c r="CO92" s="20">
        <f t="shared" si="3"/>
        <v>138.50441279999998</v>
      </c>
      <c r="CP92" s="20">
        <f t="shared" si="3"/>
        <v>138.50441279999998</v>
      </c>
      <c r="CQ92" s="20">
        <f t="shared" si="3"/>
        <v>138.50441279999998</v>
      </c>
      <c r="CR92" s="20">
        <f t="shared" si="3"/>
        <v>138.50441279999998</v>
      </c>
      <c r="CS92" s="20">
        <f t="shared" si="3"/>
        <v>138.50441279999998</v>
      </c>
      <c r="CT92" s="20">
        <f t="shared" si="3"/>
        <v>138.50441279999998</v>
      </c>
      <c r="CU92" s="20">
        <f t="shared" si="3"/>
        <v>138.50441279999998</v>
      </c>
      <c r="CV92" s="20">
        <f t="shared" si="3"/>
        <v>138.50441279999998</v>
      </c>
      <c r="CW92" s="20">
        <f t="shared" si="3"/>
        <v>138.50441279999998</v>
      </c>
      <c r="CX92" s="20">
        <f t="shared" si="3"/>
        <v>138.50441279999998</v>
      </c>
      <c r="CY92" s="20">
        <f t="shared" si="3"/>
        <v>138.50441279999998</v>
      </c>
      <c r="CZ92" s="20">
        <f t="shared" si="3"/>
        <v>138.50441279999998</v>
      </c>
      <c r="DA92" s="20">
        <f t="shared" si="3"/>
        <v>138.50441279999998</v>
      </c>
      <c r="DB92" s="20">
        <f t="shared" si="3"/>
        <v>138.50441279999998</v>
      </c>
      <c r="DC92" s="20">
        <f t="shared" si="3"/>
        <v>138.50441279999998</v>
      </c>
      <c r="DD92" s="20">
        <f t="shared" si="3"/>
        <v>138.50441279999998</v>
      </c>
      <c r="DE92" s="20">
        <f t="shared" si="3"/>
        <v>138.50441279999998</v>
      </c>
      <c r="DF92" s="20">
        <f t="shared" si="3"/>
        <v>138.50441279999998</v>
      </c>
      <c r="DG92" s="20">
        <f t="shared" si="3"/>
        <v>138.50441279999998</v>
      </c>
      <c r="DH92" s="20">
        <f t="shared" si="3"/>
        <v>138.50441279999998</v>
      </c>
      <c r="DI92" s="20">
        <f t="shared" si="3"/>
        <v>138.50441279999998</v>
      </c>
      <c r="DJ92" s="20">
        <f t="shared" si="3"/>
        <v>138.50441279999998</v>
      </c>
      <c r="DK92" s="20">
        <f t="shared" si="3"/>
        <v>138.54337424999997</v>
      </c>
      <c r="DL92" s="13"/>
      <c r="DM92" s="21">
        <f>SUM(H92:DL92)</f>
        <v>3541.9499999999989</v>
      </c>
    </row>
    <row r="93" spans="1:117" x14ac:dyDescent="0.3">
      <c r="A93" s="12"/>
      <c r="B93" s="13"/>
      <c r="C93" s="13"/>
      <c r="D93" s="13"/>
      <c r="E93" s="13"/>
      <c r="F93" s="13"/>
      <c r="G93" s="1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5">
        <v>0.65998900000000005</v>
      </c>
      <c r="CO93" s="15">
        <v>0.34001100000000001</v>
      </c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6">
        <f>SUM(H93:DL93)</f>
        <v>1</v>
      </c>
    </row>
    <row r="94" spans="1:117" x14ac:dyDescent="0.3">
      <c r="A94" s="17" t="s">
        <v>184</v>
      </c>
      <c r="B94" s="13" t="s">
        <v>185</v>
      </c>
      <c r="C94" s="13" t="s">
        <v>135</v>
      </c>
      <c r="D94" s="13">
        <v>85.79</v>
      </c>
      <c r="E94" s="13">
        <f>229967.7155*B2</f>
        <v>229967.71549999999</v>
      </c>
      <c r="F94" s="13">
        <f>D94*E94</f>
        <v>19728930.312745001</v>
      </c>
      <c r="G94" s="14">
        <f>F94/A1</f>
        <v>2.5293875190101007E-4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8"/>
      <c r="CO94" s="18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9"/>
    </row>
    <row r="95" spans="1:117" x14ac:dyDescent="0.3">
      <c r="A95" s="12"/>
      <c r="B95" s="13"/>
      <c r="C95" s="13"/>
      <c r="D95" s="13"/>
      <c r="E95" s="13"/>
      <c r="F95" s="13"/>
      <c r="G95" s="1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20">
        <f>+$D94*CN93</f>
        <v>56.620456310000009</v>
      </c>
      <c r="CO95" s="20">
        <f>+$D94*CO93</f>
        <v>29.169543690000001</v>
      </c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21">
        <f>SUM(H95:DL95)</f>
        <v>85.79</v>
      </c>
    </row>
    <row r="96" spans="1:117" x14ac:dyDescent="0.3">
      <c r="A96" s="12"/>
      <c r="B96" s="13"/>
      <c r="C96" s="13"/>
      <c r="D96" s="13"/>
      <c r="E96" s="13"/>
      <c r="F96" s="13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5">
        <v>0.6</v>
      </c>
      <c r="CO96" s="15">
        <v>0.4</v>
      </c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6">
        <f>SUM(H96:DL96)</f>
        <v>1</v>
      </c>
    </row>
    <row r="97" spans="1:117" x14ac:dyDescent="0.3">
      <c r="A97" s="17" t="s">
        <v>186</v>
      </c>
      <c r="B97" s="13" t="s">
        <v>187</v>
      </c>
      <c r="C97" s="13" t="s">
        <v>135</v>
      </c>
      <c r="D97" s="13">
        <v>79.08</v>
      </c>
      <c r="E97" s="13">
        <f>275647.442*B2</f>
        <v>275647.44199999998</v>
      </c>
      <c r="F97" s="13">
        <f>D97*E97</f>
        <v>21798199.713359997</v>
      </c>
      <c r="G97" s="14">
        <f>F97/A1</f>
        <v>2.7946823987838864E-4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8"/>
      <c r="CO97" s="18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9"/>
    </row>
    <row r="98" spans="1:117" x14ac:dyDescent="0.3">
      <c r="A98" s="12"/>
      <c r="B98" s="13"/>
      <c r="C98" s="13"/>
      <c r="D98" s="13"/>
      <c r="E98" s="13"/>
      <c r="F98" s="13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20">
        <f>+$D97*CN96</f>
        <v>47.448</v>
      </c>
      <c r="CO98" s="20">
        <f>+$D97*CO96</f>
        <v>31.632000000000001</v>
      </c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21">
        <f>SUM(H98:DL98)</f>
        <v>79.08</v>
      </c>
    </row>
    <row r="99" spans="1:117" x14ac:dyDescent="0.3">
      <c r="A99" s="8" t="s">
        <v>188</v>
      </c>
      <c r="B99" s="9" t="s">
        <v>189</v>
      </c>
      <c r="C99" s="9"/>
      <c r="D99" s="9"/>
      <c r="E99" s="9"/>
      <c r="F99" s="9"/>
      <c r="G99" s="1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11"/>
    </row>
    <row r="100" spans="1:117" x14ac:dyDescent="0.3">
      <c r="A100" s="12"/>
      <c r="B100" s="13"/>
      <c r="C100" s="13"/>
      <c r="D100" s="13"/>
      <c r="E100" s="13"/>
      <c r="F100" s="13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6">
        <f>SUM(H100:DL100)</f>
        <v>0</v>
      </c>
    </row>
    <row r="101" spans="1:117" x14ac:dyDescent="0.3">
      <c r="A101" s="17" t="s">
        <v>190</v>
      </c>
      <c r="B101" s="13" t="s">
        <v>191</v>
      </c>
      <c r="C101" s="13" t="s">
        <v>126</v>
      </c>
      <c r="D101" s="13">
        <v>0</v>
      </c>
      <c r="E101" s="13">
        <f>0*B2</f>
        <v>0</v>
      </c>
      <c r="F101" s="13">
        <f>D101*E101</f>
        <v>0</v>
      </c>
      <c r="G101" s="14">
        <f>F101/A1</f>
        <v>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9"/>
    </row>
    <row r="102" spans="1:117" x14ac:dyDescent="0.3">
      <c r="A102" s="12"/>
      <c r="B102" s="13"/>
      <c r="C102" s="13"/>
      <c r="D102" s="13"/>
      <c r="E102" s="13"/>
      <c r="F102" s="13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21">
        <f>SUM(H102:DL102)</f>
        <v>0</v>
      </c>
    </row>
    <row r="103" spans="1:117" x14ac:dyDescent="0.3">
      <c r="A103" s="12"/>
      <c r="B103" s="13"/>
      <c r="C103" s="13"/>
      <c r="D103" s="13"/>
      <c r="E103" s="13"/>
      <c r="F103" s="13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5">
        <v>0.96892500000000004</v>
      </c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5">
        <v>7.7689999999999999E-3</v>
      </c>
      <c r="CT103" s="15">
        <v>7.7689999999999999E-3</v>
      </c>
      <c r="CU103" s="15">
        <v>7.7689999999999999E-3</v>
      </c>
      <c r="CV103" s="15">
        <v>7.7679999999999997E-3</v>
      </c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6">
        <f>SUM(H103:DL103)</f>
        <v>1.0000000000000002</v>
      </c>
    </row>
    <row r="104" spans="1:117" x14ac:dyDescent="0.3">
      <c r="A104" s="17" t="s">
        <v>192</v>
      </c>
      <c r="B104" s="13" t="s">
        <v>193</v>
      </c>
      <c r="C104" s="13" t="s">
        <v>126</v>
      </c>
      <c r="D104" s="13">
        <v>8045</v>
      </c>
      <c r="E104" s="13">
        <f>55482.9519*B2</f>
        <v>55482.9519</v>
      </c>
      <c r="F104" s="13">
        <f>D104*E104</f>
        <v>446360348.03549999</v>
      </c>
      <c r="G104" s="14">
        <f>F104/A1</f>
        <v>5.722653359329098E-3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8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8"/>
      <c r="CT104" s="18"/>
      <c r="CU104" s="18"/>
      <c r="CV104" s="18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9"/>
    </row>
    <row r="105" spans="1:117" x14ac:dyDescent="0.3">
      <c r="A105" s="12"/>
      <c r="B105" s="13"/>
      <c r="C105" s="13"/>
      <c r="D105" s="13"/>
      <c r="E105" s="13"/>
      <c r="F105" s="13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20">
        <f>+$D104*BF103</f>
        <v>7795.0016249999999</v>
      </c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20">
        <f>+$D104*CS103</f>
        <v>62.501604999999998</v>
      </c>
      <c r="CT105" s="20">
        <f>+$D104*CT103</f>
        <v>62.501604999999998</v>
      </c>
      <c r="CU105" s="20">
        <f>+$D104*CU103</f>
        <v>62.501604999999998</v>
      </c>
      <c r="CV105" s="20">
        <f>+$D104*CV103</f>
        <v>62.493559999999995</v>
      </c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21">
        <f>SUM(H105:DL105)</f>
        <v>8045.0000000000009</v>
      </c>
    </row>
    <row r="106" spans="1:117" x14ac:dyDescent="0.3">
      <c r="A106" s="12"/>
      <c r="B106" s="13"/>
      <c r="C106" s="13"/>
      <c r="D106" s="13"/>
      <c r="E106" s="13"/>
      <c r="F106" s="13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5">
        <v>0.5</v>
      </c>
      <c r="CL106" s="15">
        <v>0.5</v>
      </c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6">
        <f>SUM(H106:DL106)</f>
        <v>1</v>
      </c>
    </row>
    <row r="107" spans="1:117" x14ac:dyDescent="0.3">
      <c r="A107" s="17" t="s">
        <v>194</v>
      </c>
      <c r="B107" s="13" t="s">
        <v>195</v>
      </c>
      <c r="C107" s="13" t="s">
        <v>126</v>
      </c>
      <c r="D107" s="13">
        <v>910.12</v>
      </c>
      <c r="E107" s="13">
        <f>43664.7*B2</f>
        <v>43664.7</v>
      </c>
      <c r="F107" s="13">
        <f>D107*E107</f>
        <v>39740116.763999999</v>
      </c>
      <c r="G107" s="14">
        <f>F107/A1</f>
        <v>5.0949622586446246E-4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8"/>
      <c r="CL107" s="18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9"/>
    </row>
    <row r="108" spans="1:117" x14ac:dyDescent="0.3">
      <c r="A108" s="12"/>
      <c r="B108" s="13"/>
      <c r="C108" s="13"/>
      <c r="D108" s="13"/>
      <c r="E108" s="13"/>
      <c r="F108" s="13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20">
        <f>+$D107*CK106</f>
        <v>455.06</v>
      </c>
      <c r="CL108" s="20">
        <f>+$D107*CL106</f>
        <v>455.06</v>
      </c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21">
        <f>SUM(H108:DL108)</f>
        <v>910.12</v>
      </c>
    </row>
    <row r="109" spans="1:117" x14ac:dyDescent="0.3">
      <c r="A109" s="12"/>
      <c r="B109" s="13"/>
      <c r="C109" s="13"/>
      <c r="D109" s="13"/>
      <c r="E109" s="13"/>
      <c r="F109" s="13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5">
        <v>0.79652400000000001</v>
      </c>
      <c r="BG109" s="13"/>
      <c r="BH109" s="15">
        <v>4.8205999999999999E-2</v>
      </c>
      <c r="BI109" s="13"/>
      <c r="BJ109" s="13"/>
      <c r="BK109" s="15">
        <v>1.879E-3</v>
      </c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5">
        <v>0.107374</v>
      </c>
      <c r="CN109" s="15">
        <v>4.6017000000000002E-2</v>
      </c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6">
        <f>SUM(H109:DL109)</f>
        <v>0.99999999999999989</v>
      </c>
    </row>
    <row r="110" spans="1:117" x14ac:dyDescent="0.3">
      <c r="A110" s="17" t="s">
        <v>196</v>
      </c>
      <c r="B110" s="13" t="s">
        <v>197</v>
      </c>
      <c r="C110" s="13" t="s">
        <v>126</v>
      </c>
      <c r="D110" s="13">
        <v>7269</v>
      </c>
      <c r="E110" s="13">
        <f>54740.6527*B2</f>
        <v>54740.652699999999</v>
      </c>
      <c r="F110" s="13">
        <f>D110*E110</f>
        <v>397909804.4763</v>
      </c>
      <c r="G110" s="14">
        <f>F110/A1</f>
        <v>5.1014833403507879E-3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8"/>
      <c r="BG110" s="13"/>
      <c r="BH110" s="18"/>
      <c r="BI110" s="13"/>
      <c r="BJ110" s="13"/>
      <c r="BK110" s="18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8"/>
      <c r="CN110" s="18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9"/>
    </row>
    <row r="111" spans="1:117" x14ac:dyDescent="0.3">
      <c r="A111" s="12"/>
      <c r="B111" s="13"/>
      <c r="C111" s="13"/>
      <c r="D111" s="13"/>
      <c r="E111" s="13"/>
      <c r="F111" s="13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20">
        <f>+$D110*BF109</f>
        <v>5789.9329559999996</v>
      </c>
      <c r="BG111" s="13"/>
      <c r="BH111" s="20">
        <f>+$D110*BH109</f>
        <v>350.40941399999997</v>
      </c>
      <c r="BI111" s="13"/>
      <c r="BJ111" s="13"/>
      <c r="BK111" s="20">
        <f>+$D110*BK109</f>
        <v>13.658450999999999</v>
      </c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20">
        <f>+$D110*CM109</f>
        <v>780.50160599999992</v>
      </c>
      <c r="CN111" s="20">
        <f>+$D110*CN109</f>
        <v>334.49757300000005</v>
      </c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21">
        <f>SUM(H111:DL111)</f>
        <v>7268.9999999999991</v>
      </c>
    </row>
    <row r="112" spans="1:117" x14ac:dyDescent="0.3">
      <c r="A112" s="12"/>
      <c r="B112" s="13"/>
      <c r="C112" s="13"/>
      <c r="D112" s="13"/>
      <c r="E112" s="13"/>
      <c r="F112" s="13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5">
        <v>0.84270199999999995</v>
      </c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5">
        <v>3.1460000000000002E-2</v>
      </c>
      <c r="CP112" s="15">
        <v>9.4379000000000005E-2</v>
      </c>
      <c r="CQ112" s="15">
        <v>3.1459000000000001E-2</v>
      </c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6">
        <f>SUM(H112:DL112)</f>
        <v>1</v>
      </c>
    </row>
    <row r="113" spans="1:117" x14ac:dyDescent="0.3">
      <c r="A113" s="17" t="s">
        <v>198</v>
      </c>
      <c r="B113" s="13" t="s">
        <v>199</v>
      </c>
      <c r="C113" s="13" t="s">
        <v>126</v>
      </c>
      <c r="D113" s="13">
        <v>5170</v>
      </c>
      <c r="E113" s="13">
        <f>83007.629*B2</f>
        <v>83007.629000000001</v>
      </c>
      <c r="F113" s="13">
        <f>D113*E113</f>
        <v>429149441.93000001</v>
      </c>
      <c r="G113" s="14">
        <f>F113/A1</f>
        <v>5.5019974474067781E-3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8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8"/>
      <c r="CP113" s="18"/>
      <c r="CQ113" s="18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9"/>
    </row>
    <row r="114" spans="1:117" x14ac:dyDescent="0.3">
      <c r="A114" s="12"/>
      <c r="B114" s="13"/>
      <c r="C114" s="13"/>
      <c r="D114" s="13"/>
      <c r="E114" s="13"/>
      <c r="F114" s="13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20">
        <f>+$D113*BF112</f>
        <v>4356.7693399999998</v>
      </c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20">
        <f>+$D113*CO112</f>
        <v>162.6482</v>
      </c>
      <c r="CP114" s="20">
        <f>+$D113*CP112</f>
        <v>487.93943000000002</v>
      </c>
      <c r="CQ114" s="20">
        <f>+$D113*CQ112</f>
        <v>162.64303000000001</v>
      </c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21">
        <f>SUM(H114:DL114)</f>
        <v>5170</v>
      </c>
    </row>
    <row r="115" spans="1:117" x14ac:dyDescent="0.3">
      <c r="A115" s="12"/>
      <c r="B115" s="13"/>
      <c r="C115" s="13"/>
      <c r="D115" s="13"/>
      <c r="E115" s="13"/>
      <c r="F115" s="13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5">
        <v>0.98296399999999995</v>
      </c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5">
        <v>8.5179999999999995E-3</v>
      </c>
      <c r="CS115" s="15">
        <v>8.5179999999999995E-3</v>
      </c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6">
        <f>SUM(H115:DL115)</f>
        <v>1</v>
      </c>
    </row>
    <row r="116" spans="1:117" x14ac:dyDescent="0.3">
      <c r="A116" s="17" t="s">
        <v>200</v>
      </c>
      <c r="B116" s="13" t="s">
        <v>201</v>
      </c>
      <c r="C116" s="13" t="s">
        <v>126</v>
      </c>
      <c r="D116" s="13">
        <v>4778</v>
      </c>
      <c r="E116" s="13">
        <f>54830.9813*B2</f>
        <v>54830.981299999999</v>
      </c>
      <c r="F116" s="13">
        <f>D116*E116</f>
        <v>261982428.6514</v>
      </c>
      <c r="G116" s="14">
        <f>F116/A1</f>
        <v>3.3587988538979555E-3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8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8"/>
      <c r="CS116" s="18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9"/>
    </row>
    <row r="117" spans="1:117" x14ac:dyDescent="0.3">
      <c r="A117" s="12"/>
      <c r="B117" s="13"/>
      <c r="C117" s="13"/>
      <c r="D117" s="13"/>
      <c r="E117" s="13"/>
      <c r="F117" s="13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20">
        <f>+$D116*BF115</f>
        <v>4696.6019919999999</v>
      </c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20">
        <f>+$D116*CR115</f>
        <v>40.699003999999995</v>
      </c>
      <c r="CS117" s="20">
        <f>+$D116*CS115</f>
        <v>40.699003999999995</v>
      </c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21">
        <f>SUM(H117:DL117)</f>
        <v>4778</v>
      </c>
    </row>
    <row r="118" spans="1:117" x14ac:dyDescent="0.3">
      <c r="A118" s="12"/>
      <c r="B118" s="13"/>
      <c r="C118" s="13"/>
      <c r="D118" s="13"/>
      <c r="E118" s="13"/>
      <c r="F118" s="13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5">
        <v>0.92627199999999998</v>
      </c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5">
        <v>5.5295999999999998E-2</v>
      </c>
      <c r="CR118" s="15">
        <v>1.8432E-2</v>
      </c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6">
        <f>SUM(H118:DL118)</f>
        <v>1</v>
      </c>
    </row>
    <row r="119" spans="1:117" x14ac:dyDescent="0.3">
      <c r="A119" s="17" t="s">
        <v>202</v>
      </c>
      <c r="B119" s="13" t="s">
        <v>203</v>
      </c>
      <c r="C119" s="13" t="s">
        <v>126</v>
      </c>
      <c r="D119" s="13">
        <v>963</v>
      </c>
      <c r="E119" s="13">
        <f>59676.897*B2</f>
        <v>59676.896999999997</v>
      </c>
      <c r="F119" s="13">
        <f>D119*E119</f>
        <v>57468851.810999997</v>
      </c>
      <c r="G119" s="14">
        <f>F119/A1</f>
        <v>7.3679106874172692E-4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8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8"/>
      <c r="CR119" s="18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9"/>
    </row>
    <row r="120" spans="1:117" x14ac:dyDescent="0.3">
      <c r="A120" s="12"/>
      <c r="B120" s="13"/>
      <c r="C120" s="13"/>
      <c r="D120" s="13"/>
      <c r="E120" s="13"/>
      <c r="F120" s="13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20">
        <f>+$D119*BF118</f>
        <v>891.99993599999993</v>
      </c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20">
        <f>+$D119*CQ118</f>
        <v>53.250048</v>
      </c>
      <c r="CR120" s="20">
        <f>+$D119*CR118</f>
        <v>17.750015999999999</v>
      </c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21">
        <f>SUM(H120:DL120)</f>
        <v>962.99999999999989</v>
      </c>
    </row>
    <row r="121" spans="1:117" x14ac:dyDescent="0.3">
      <c r="A121" s="12"/>
      <c r="B121" s="13"/>
      <c r="C121" s="13"/>
      <c r="D121" s="13"/>
      <c r="E121" s="13"/>
      <c r="F121" s="13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5">
        <v>0.97578799999999999</v>
      </c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5">
        <v>1.2106E-2</v>
      </c>
      <c r="DB121" s="15">
        <v>1.2106E-2</v>
      </c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6">
        <f>SUM(H121:DL121)</f>
        <v>0.99999999999999989</v>
      </c>
    </row>
    <row r="122" spans="1:117" x14ac:dyDescent="0.3">
      <c r="A122" s="17" t="s">
        <v>204</v>
      </c>
      <c r="B122" s="13" t="s">
        <v>205</v>
      </c>
      <c r="C122" s="13" t="s">
        <v>126</v>
      </c>
      <c r="D122" s="13">
        <v>1776</v>
      </c>
      <c r="E122" s="13">
        <f>54813.5012*B2</f>
        <v>54813.501199999999</v>
      </c>
      <c r="F122" s="13">
        <f>D122*E122</f>
        <v>97348778.131200001</v>
      </c>
      <c r="G122" s="14">
        <f>F122/A1</f>
        <v>1.248079751373408E-3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8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8"/>
      <c r="DB122" s="18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9"/>
    </row>
    <row r="123" spans="1:117" x14ac:dyDescent="0.3">
      <c r="A123" s="12"/>
      <c r="B123" s="13"/>
      <c r="C123" s="13"/>
      <c r="D123" s="13"/>
      <c r="E123" s="13"/>
      <c r="F123" s="13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20">
        <f>+$D122*BF121</f>
        <v>1732.9994879999999</v>
      </c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20">
        <f>+$D122*DA121</f>
        <v>21.500256</v>
      </c>
      <c r="DB123" s="20">
        <f>+$D122*DB121</f>
        <v>21.500256</v>
      </c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21">
        <f>SUM(H123:DL123)</f>
        <v>1776</v>
      </c>
    </row>
    <row r="124" spans="1:117" x14ac:dyDescent="0.3">
      <c r="A124" s="12"/>
      <c r="B124" s="13"/>
      <c r="C124" s="13"/>
      <c r="D124" s="13"/>
      <c r="E124" s="13"/>
      <c r="F124" s="13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5">
        <v>0.95607399999999998</v>
      </c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5">
        <v>2.1963E-2</v>
      </c>
      <c r="CN124" s="15">
        <v>2.1963E-2</v>
      </c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6">
        <f>SUM(H124:DL124)</f>
        <v>0.99999999999999989</v>
      </c>
    </row>
    <row r="125" spans="1:117" x14ac:dyDescent="0.3">
      <c r="A125" s="17" t="s">
        <v>206</v>
      </c>
      <c r="B125" s="13" t="s">
        <v>207</v>
      </c>
      <c r="C125" s="13" t="s">
        <v>126</v>
      </c>
      <c r="D125" s="13">
        <v>1844</v>
      </c>
      <c r="E125" s="13">
        <f>57303.9597*B2</f>
        <v>57303.959699999999</v>
      </c>
      <c r="F125" s="13">
        <f>D125*E125</f>
        <v>105668501.6868</v>
      </c>
      <c r="G125" s="14">
        <f>F125/A1</f>
        <v>1.3547444543733195E-3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8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8"/>
      <c r="CN125" s="18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9"/>
    </row>
    <row r="126" spans="1:117" x14ac:dyDescent="0.3">
      <c r="A126" s="12"/>
      <c r="B126" s="13"/>
      <c r="C126" s="13"/>
      <c r="D126" s="13"/>
      <c r="E126" s="13"/>
      <c r="F126" s="13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20">
        <f>+$D125*BF124</f>
        <v>1763.000456</v>
      </c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20">
        <f>+$D125*CM124</f>
        <v>40.499772</v>
      </c>
      <c r="CN126" s="20">
        <f>+$D125*CN124</f>
        <v>40.499772</v>
      </c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21">
        <f>SUM(H126:DL126)</f>
        <v>1843.9999999999998</v>
      </c>
    </row>
    <row r="127" spans="1:117" x14ac:dyDescent="0.3">
      <c r="A127" s="12"/>
      <c r="B127" s="13"/>
      <c r="C127" s="13"/>
      <c r="D127" s="13"/>
      <c r="E127" s="13"/>
      <c r="F127" s="13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5">
        <v>0.99688699999999997</v>
      </c>
      <c r="BG127" s="13"/>
      <c r="BH127" s="15">
        <v>3.1129999999999999E-3</v>
      </c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6">
        <f>SUM(H127:DL127)</f>
        <v>1</v>
      </c>
    </row>
    <row r="128" spans="1:117" x14ac:dyDescent="0.3">
      <c r="A128" s="17" t="s">
        <v>208</v>
      </c>
      <c r="B128" s="13" t="s">
        <v>209</v>
      </c>
      <c r="C128" s="13" t="s">
        <v>126</v>
      </c>
      <c r="D128" s="13">
        <v>7708.93</v>
      </c>
      <c r="E128" s="13">
        <f>54171.9597*B2</f>
        <v>54171.959699999999</v>
      </c>
      <c r="F128" s="13">
        <f>D128*E128</f>
        <v>417607845.29012102</v>
      </c>
      <c r="G128" s="14">
        <f>F128/A1</f>
        <v>5.3540260671667665E-3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8"/>
      <c r="BG128" s="13"/>
      <c r="BH128" s="18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9"/>
    </row>
    <row r="129" spans="1:117" x14ac:dyDescent="0.3">
      <c r="A129" s="12"/>
      <c r="B129" s="13"/>
      <c r="C129" s="13"/>
      <c r="D129" s="13"/>
      <c r="E129" s="13"/>
      <c r="F129" s="13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20">
        <f>+$D128*BF127</f>
        <v>7684.9321009100004</v>
      </c>
      <c r="BG129" s="13"/>
      <c r="BH129" s="20">
        <f>+$D128*BH127</f>
        <v>23.997899090000001</v>
      </c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21">
        <f>SUM(H129:DL129)</f>
        <v>7708.93</v>
      </c>
    </row>
    <row r="130" spans="1:117" x14ac:dyDescent="0.3">
      <c r="A130" s="12"/>
      <c r="B130" s="13"/>
      <c r="C130" s="13"/>
      <c r="D130" s="13"/>
      <c r="E130" s="13"/>
      <c r="F130" s="13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5">
        <v>4.1096000000000001E-2</v>
      </c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5">
        <v>3.6880999999999997E-2</v>
      </c>
      <c r="CN130" s="15">
        <v>3.6880999999999997E-2</v>
      </c>
      <c r="CO130" s="15">
        <v>3.6880999999999997E-2</v>
      </c>
      <c r="CP130" s="15">
        <v>3.6880999999999997E-2</v>
      </c>
      <c r="CQ130" s="15">
        <v>3.6880999999999997E-2</v>
      </c>
      <c r="CR130" s="15">
        <v>3.6880999999999997E-2</v>
      </c>
      <c r="CS130" s="15">
        <v>3.6880999999999997E-2</v>
      </c>
      <c r="CT130" s="15">
        <v>3.6880999999999997E-2</v>
      </c>
      <c r="CU130" s="15">
        <v>3.6880999999999997E-2</v>
      </c>
      <c r="CV130" s="15">
        <v>3.6880999999999997E-2</v>
      </c>
      <c r="CW130" s="15">
        <v>3.6880999999999997E-2</v>
      </c>
      <c r="CX130" s="15">
        <v>3.6880999999999997E-2</v>
      </c>
      <c r="CY130" s="15">
        <v>3.6880999999999997E-2</v>
      </c>
      <c r="CZ130" s="15">
        <v>3.6880999999999997E-2</v>
      </c>
      <c r="DA130" s="15">
        <v>3.6880999999999997E-2</v>
      </c>
      <c r="DB130" s="15">
        <v>3.6880999999999997E-2</v>
      </c>
      <c r="DC130" s="15">
        <v>3.6880999999999997E-2</v>
      </c>
      <c r="DD130" s="15">
        <v>3.6880999999999997E-2</v>
      </c>
      <c r="DE130" s="15">
        <v>3.6880999999999997E-2</v>
      </c>
      <c r="DF130" s="15">
        <v>3.6880999999999997E-2</v>
      </c>
      <c r="DG130" s="15">
        <v>3.6880999999999997E-2</v>
      </c>
      <c r="DH130" s="15">
        <v>3.6880999999999997E-2</v>
      </c>
      <c r="DI130" s="15">
        <v>3.6880999999999997E-2</v>
      </c>
      <c r="DJ130" s="15">
        <v>3.6880999999999997E-2</v>
      </c>
      <c r="DK130" s="15">
        <v>3.6880999999999997E-2</v>
      </c>
      <c r="DL130" s="15">
        <v>3.6879000000000002E-2</v>
      </c>
      <c r="DM130" s="16">
        <f>SUM(H130:DL130)</f>
        <v>0.99999999999999922</v>
      </c>
    </row>
    <row r="131" spans="1:117" x14ac:dyDescent="0.3">
      <c r="A131" s="17" t="s">
        <v>210</v>
      </c>
      <c r="B131" s="13" t="s">
        <v>211</v>
      </c>
      <c r="C131" s="13" t="s">
        <v>126</v>
      </c>
      <c r="D131" s="13">
        <v>8030</v>
      </c>
      <c r="E131" s="13">
        <f>193555.562*B2</f>
        <v>193555.56200000001</v>
      </c>
      <c r="F131" s="13">
        <f>D131*E131</f>
        <v>1554251162.8600001</v>
      </c>
      <c r="G131" s="14">
        <f>F131/A1</f>
        <v>1.9926592219778765E-2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8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9"/>
    </row>
    <row r="132" spans="1:117" x14ac:dyDescent="0.3">
      <c r="A132" s="12"/>
      <c r="B132" s="13"/>
      <c r="C132" s="13"/>
      <c r="D132" s="13"/>
      <c r="E132" s="13"/>
      <c r="F132" s="13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20">
        <f>+$D131*BF130</f>
        <v>330.00088</v>
      </c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20">
        <f t="shared" ref="CM132:DL132" si="4">+$D131*CM130</f>
        <v>296.15442999999999</v>
      </c>
      <c r="CN132" s="20">
        <f t="shared" si="4"/>
        <v>296.15442999999999</v>
      </c>
      <c r="CO132" s="20">
        <f t="shared" si="4"/>
        <v>296.15442999999999</v>
      </c>
      <c r="CP132" s="20">
        <f t="shared" si="4"/>
        <v>296.15442999999999</v>
      </c>
      <c r="CQ132" s="20">
        <f t="shared" si="4"/>
        <v>296.15442999999999</v>
      </c>
      <c r="CR132" s="20">
        <f t="shared" si="4"/>
        <v>296.15442999999999</v>
      </c>
      <c r="CS132" s="20">
        <f t="shared" si="4"/>
        <v>296.15442999999999</v>
      </c>
      <c r="CT132" s="20">
        <f t="shared" si="4"/>
        <v>296.15442999999999</v>
      </c>
      <c r="CU132" s="20">
        <f t="shared" si="4"/>
        <v>296.15442999999999</v>
      </c>
      <c r="CV132" s="20">
        <f t="shared" si="4"/>
        <v>296.15442999999999</v>
      </c>
      <c r="CW132" s="20">
        <f t="shared" si="4"/>
        <v>296.15442999999999</v>
      </c>
      <c r="CX132" s="20">
        <f t="shared" si="4"/>
        <v>296.15442999999999</v>
      </c>
      <c r="CY132" s="20">
        <f t="shared" si="4"/>
        <v>296.15442999999999</v>
      </c>
      <c r="CZ132" s="20">
        <f t="shared" si="4"/>
        <v>296.15442999999999</v>
      </c>
      <c r="DA132" s="20">
        <f t="shared" si="4"/>
        <v>296.15442999999999</v>
      </c>
      <c r="DB132" s="20">
        <f t="shared" si="4"/>
        <v>296.15442999999999</v>
      </c>
      <c r="DC132" s="20">
        <f t="shared" si="4"/>
        <v>296.15442999999999</v>
      </c>
      <c r="DD132" s="20">
        <f t="shared" si="4"/>
        <v>296.15442999999999</v>
      </c>
      <c r="DE132" s="20">
        <f t="shared" si="4"/>
        <v>296.15442999999999</v>
      </c>
      <c r="DF132" s="20">
        <f t="shared" si="4"/>
        <v>296.15442999999999</v>
      </c>
      <c r="DG132" s="20">
        <f t="shared" si="4"/>
        <v>296.15442999999999</v>
      </c>
      <c r="DH132" s="20">
        <f t="shared" si="4"/>
        <v>296.15442999999999</v>
      </c>
      <c r="DI132" s="20">
        <f t="shared" si="4"/>
        <v>296.15442999999999</v>
      </c>
      <c r="DJ132" s="20">
        <f t="shared" si="4"/>
        <v>296.15442999999999</v>
      </c>
      <c r="DK132" s="20">
        <f t="shared" si="4"/>
        <v>296.15442999999999</v>
      </c>
      <c r="DL132" s="20">
        <f t="shared" si="4"/>
        <v>296.13837000000001</v>
      </c>
      <c r="DM132" s="21">
        <f>SUM(H132:DL132)</f>
        <v>8029.9999999999945</v>
      </c>
    </row>
    <row r="133" spans="1:117" x14ac:dyDescent="0.3">
      <c r="A133" s="12"/>
      <c r="B133" s="13"/>
      <c r="C133" s="13"/>
      <c r="D133" s="13"/>
      <c r="E133" s="13"/>
      <c r="F133" s="13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5">
        <v>0.5</v>
      </c>
      <c r="CO133" s="15">
        <v>0.5</v>
      </c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6">
        <f>SUM(H133:DL133)</f>
        <v>1</v>
      </c>
    </row>
    <row r="134" spans="1:117" x14ac:dyDescent="0.3">
      <c r="A134" s="17" t="s">
        <v>212</v>
      </c>
      <c r="B134" s="13" t="s">
        <v>213</v>
      </c>
      <c r="C134" s="13" t="s">
        <v>126</v>
      </c>
      <c r="D134" s="13">
        <v>695.6</v>
      </c>
      <c r="E134" s="13">
        <f>54740.6527*B2</f>
        <v>54740.652699999999</v>
      </c>
      <c r="F134" s="13">
        <f>D134*E134</f>
        <v>38077598.018119998</v>
      </c>
      <c r="G134" s="14">
        <f>F134/A1</f>
        <v>4.8818156714101082E-4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8"/>
      <c r="CO134" s="18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9"/>
    </row>
    <row r="135" spans="1:117" x14ac:dyDescent="0.3">
      <c r="A135" s="12"/>
      <c r="B135" s="13"/>
      <c r="C135" s="13"/>
      <c r="D135" s="13"/>
      <c r="E135" s="13"/>
      <c r="F135" s="13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20">
        <f>+$D134*CN133</f>
        <v>347.8</v>
      </c>
      <c r="CO135" s="20">
        <f>+$D134*CO133</f>
        <v>347.8</v>
      </c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21">
        <f>SUM(H135:DL135)</f>
        <v>695.6</v>
      </c>
    </row>
    <row r="136" spans="1:117" x14ac:dyDescent="0.3">
      <c r="A136" s="12"/>
      <c r="B136" s="13"/>
      <c r="C136" s="13"/>
      <c r="D136" s="13"/>
      <c r="E136" s="13"/>
      <c r="F136" s="13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5">
        <v>0.5</v>
      </c>
      <c r="CO136" s="15">
        <v>0.5</v>
      </c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6">
        <f>SUM(H136:DL136)</f>
        <v>1</v>
      </c>
    </row>
    <row r="137" spans="1:117" x14ac:dyDescent="0.3">
      <c r="A137" s="17" t="s">
        <v>214</v>
      </c>
      <c r="B137" s="13" t="s">
        <v>215</v>
      </c>
      <c r="C137" s="13" t="s">
        <v>126</v>
      </c>
      <c r="D137" s="13">
        <v>515.75</v>
      </c>
      <c r="E137" s="13">
        <f>85550.5436*B2</f>
        <v>85550.543600000005</v>
      </c>
      <c r="F137" s="13">
        <f>D137*E137</f>
        <v>44122692.861700006</v>
      </c>
      <c r="G137" s="14">
        <f>F137/A1</f>
        <v>5.6568393146689579E-4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8"/>
      <c r="CO137" s="18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9"/>
    </row>
    <row r="138" spans="1:117" x14ac:dyDescent="0.3">
      <c r="A138" s="12"/>
      <c r="B138" s="13"/>
      <c r="C138" s="13"/>
      <c r="D138" s="13"/>
      <c r="E138" s="13"/>
      <c r="F138" s="13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20">
        <f>+$D137*CN136</f>
        <v>257.875</v>
      </c>
      <c r="CO138" s="20">
        <f>+$D137*CO136</f>
        <v>257.875</v>
      </c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21">
        <f>SUM(H138:DL138)</f>
        <v>515.75</v>
      </c>
    </row>
    <row r="139" spans="1:117" x14ac:dyDescent="0.3">
      <c r="A139" s="8" t="s">
        <v>216</v>
      </c>
      <c r="B139" s="9" t="s">
        <v>217</v>
      </c>
      <c r="C139" s="9"/>
      <c r="D139" s="9"/>
      <c r="E139" s="9"/>
      <c r="F139" s="9"/>
      <c r="G139" s="1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11"/>
    </row>
    <row r="140" spans="1:117" x14ac:dyDescent="0.3">
      <c r="A140" s="12"/>
      <c r="B140" s="13"/>
      <c r="C140" s="13"/>
      <c r="D140" s="13"/>
      <c r="E140" s="13"/>
      <c r="F140" s="13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6">
        <f>SUM(H140:DL140)</f>
        <v>0</v>
      </c>
    </row>
    <row r="141" spans="1:117" x14ac:dyDescent="0.3">
      <c r="A141" s="17" t="s">
        <v>218</v>
      </c>
      <c r="B141" s="13" t="s">
        <v>219</v>
      </c>
      <c r="C141" s="13" t="s">
        <v>135</v>
      </c>
      <c r="D141" s="13">
        <v>0</v>
      </c>
      <c r="E141" s="13">
        <f>0*B2</f>
        <v>0</v>
      </c>
      <c r="F141" s="13">
        <f>D141*E141</f>
        <v>0</v>
      </c>
      <c r="G141" s="14">
        <f>F141/A1</f>
        <v>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9"/>
    </row>
    <row r="142" spans="1:117" x14ac:dyDescent="0.3">
      <c r="A142" s="12"/>
      <c r="B142" s="13"/>
      <c r="C142" s="13"/>
      <c r="D142" s="13"/>
      <c r="E142" s="13"/>
      <c r="F142" s="13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21">
        <f>SUM(H142:DL142)</f>
        <v>0</v>
      </c>
    </row>
    <row r="143" spans="1:117" x14ac:dyDescent="0.3">
      <c r="A143" s="12"/>
      <c r="B143" s="13"/>
      <c r="C143" s="13"/>
      <c r="D143" s="13"/>
      <c r="E143" s="13"/>
      <c r="F143" s="13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5">
        <v>0.97141100000000002</v>
      </c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5">
        <v>7.1469999999999997E-3</v>
      </c>
      <c r="CT143" s="15">
        <v>7.1469999999999997E-3</v>
      </c>
      <c r="CU143" s="15">
        <v>7.1469999999999997E-3</v>
      </c>
      <c r="CV143" s="15">
        <v>7.1479999999999998E-3</v>
      </c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6">
        <f>SUM(H143:DL143)</f>
        <v>1</v>
      </c>
    </row>
    <row r="144" spans="1:117" x14ac:dyDescent="0.3">
      <c r="A144" s="17" t="s">
        <v>220</v>
      </c>
      <c r="B144" s="13" t="s">
        <v>221</v>
      </c>
      <c r="C144" s="13" t="s">
        <v>135</v>
      </c>
      <c r="D144" s="13">
        <v>10922.04</v>
      </c>
      <c r="E144" s="13">
        <f>47954.0339*B2</f>
        <v>47954.033900000002</v>
      </c>
      <c r="F144" s="13">
        <f>D144*E144</f>
        <v>523755876.41715604</v>
      </c>
      <c r="G144" s="14">
        <f>F144/A1</f>
        <v>6.7149184259723141E-3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8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8"/>
      <c r="CT144" s="18"/>
      <c r="CU144" s="18"/>
      <c r="CV144" s="18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9"/>
    </row>
    <row r="145" spans="1:117" x14ac:dyDescent="0.3">
      <c r="A145" s="12"/>
      <c r="B145" s="13"/>
      <c r="C145" s="13"/>
      <c r="D145" s="13"/>
      <c r="E145" s="13"/>
      <c r="F145" s="13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20">
        <f>+$D144*BF143</f>
        <v>10609.789798440001</v>
      </c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20">
        <f>+$D144*CS143</f>
        <v>78.059819880000006</v>
      </c>
      <c r="CT145" s="20">
        <f>+$D144*CT143</f>
        <v>78.059819880000006</v>
      </c>
      <c r="CU145" s="20">
        <f>+$D144*CU143</f>
        <v>78.059819880000006</v>
      </c>
      <c r="CV145" s="20">
        <f>+$D144*CV143</f>
        <v>78.070741920000003</v>
      </c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21">
        <f>SUM(H145:DL145)</f>
        <v>10922.04</v>
      </c>
    </row>
    <row r="146" spans="1:117" x14ac:dyDescent="0.3">
      <c r="A146" s="12"/>
      <c r="B146" s="13"/>
      <c r="C146" s="13"/>
      <c r="D146" s="13"/>
      <c r="E146" s="13"/>
      <c r="F146" s="13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5">
        <v>0.33319900000000002</v>
      </c>
      <c r="CL146" s="15">
        <v>0.66680099999999998</v>
      </c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6">
        <f>SUM(H146:DL146)</f>
        <v>1</v>
      </c>
    </row>
    <row r="147" spans="1:117" x14ac:dyDescent="0.3">
      <c r="A147" s="17" t="s">
        <v>222</v>
      </c>
      <c r="B147" s="13" t="s">
        <v>223</v>
      </c>
      <c r="C147" s="13" t="s">
        <v>135</v>
      </c>
      <c r="D147" s="13">
        <v>894.36</v>
      </c>
      <c r="E147" s="13">
        <f>43503.8*B2</f>
        <v>43503.8</v>
      </c>
      <c r="F147" s="13">
        <f>D147*E147</f>
        <v>38908058.568000004</v>
      </c>
      <c r="G147" s="14">
        <f>F147/A1</f>
        <v>4.9882865502970278E-4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8"/>
      <c r="CL147" s="18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9"/>
    </row>
    <row r="148" spans="1:117" x14ac:dyDescent="0.3">
      <c r="A148" s="12"/>
      <c r="B148" s="13"/>
      <c r="C148" s="13"/>
      <c r="D148" s="13"/>
      <c r="E148" s="13"/>
      <c r="F148" s="13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20">
        <f>+$D147*CK146</f>
        <v>297.99985764000002</v>
      </c>
      <c r="CL148" s="20">
        <f>+$D147*CL146</f>
        <v>596.36014235999994</v>
      </c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21">
        <f>SUM(H148:DL148)</f>
        <v>894.3599999999999</v>
      </c>
    </row>
    <row r="149" spans="1:117" x14ac:dyDescent="0.3">
      <c r="A149" s="12"/>
      <c r="B149" s="13"/>
      <c r="C149" s="13"/>
      <c r="D149" s="13"/>
      <c r="E149" s="13"/>
      <c r="F149" s="13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5">
        <v>0.79652400000000001</v>
      </c>
      <c r="BG149" s="13"/>
      <c r="BH149" s="15">
        <v>4.8205999999999999E-2</v>
      </c>
      <c r="BI149" s="13"/>
      <c r="BJ149" s="13"/>
      <c r="BK149" s="15">
        <v>1.879E-3</v>
      </c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5">
        <v>0.107374</v>
      </c>
      <c r="CN149" s="15">
        <v>4.6017000000000002E-2</v>
      </c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6">
        <f>SUM(H149:DL149)</f>
        <v>0.99999999999999989</v>
      </c>
    </row>
    <row r="150" spans="1:117" x14ac:dyDescent="0.3">
      <c r="A150" s="17" t="s">
        <v>224</v>
      </c>
      <c r="B150" s="13" t="s">
        <v>225</v>
      </c>
      <c r="C150" s="13" t="s">
        <v>135</v>
      </c>
      <c r="D150" s="13">
        <v>7143.16</v>
      </c>
      <c r="E150" s="13">
        <f>62859.1666*B2</f>
        <v>62859.166599999997</v>
      </c>
      <c r="F150" s="13">
        <f>D150*E150</f>
        <v>449013084.49045599</v>
      </c>
      <c r="G150" s="14">
        <f>F150/A1</f>
        <v>5.7566633049978408E-3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8"/>
      <c r="BG150" s="13"/>
      <c r="BH150" s="18"/>
      <c r="BI150" s="13"/>
      <c r="BJ150" s="13"/>
      <c r="BK150" s="18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8"/>
      <c r="CN150" s="18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9"/>
    </row>
    <row r="151" spans="1:117" x14ac:dyDescent="0.3">
      <c r="A151" s="12"/>
      <c r="B151" s="13"/>
      <c r="C151" s="13"/>
      <c r="D151" s="13"/>
      <c r="E151" s="13"/>
      <c r="F151" s="13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20">
        <f>+$D150*BF149</f>
        <v>5689.6983758400002</v>
      </c>
      <c r="BG151" s="13"/>
      <c r="BH151" s="20">
        <f>+$D150*BH149</f>
        <v>344.34317096000001</v>
      </c>
      <c r="BI151" s="13"/>
      <c r="BJ151" s="13"/>
      <c r="BK151" s="20">
        <f>+$D150*BK149</f>
        <v>13.421997640000001</v>
      </c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20">
        <f>+$D150*CM149</f>
        <v>766.98966183999994</v>
      </c>
      <c r="CN151" s="20">
        <f>+$D150*CN149</f>
        <v>328.70679372000001</v>
      </c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21">
        <f>SUM(H151:DL151)</f>
        <v>7143.16</v>
      </c>
    </row>
    <row r="152" spans="1:117" x14ac:dyDescent="0.3">
      <c r="A152" s="12"/>
      <c r="B152" s="13"/>
      <c r="C152" s="13"/>
      <c r="D152" s="13"/>
      <c r="E152" s="13"/>
      <c r="F152" s="13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5">
        <v>0.93871300000000002</v>
      </c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5">
        <v>1.2257000000000001E-2</v>
      </c>
      <c r="CP152" s="15">
        <v>3.6771999999999999E-2</v>
      </c>
      <c r="CQ152" s="15">
        <v>1.2258E-2</v>
      </c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6">
        <f>SUM(H152:DL152)</f>
        <v>1</v>
      </c>
    </row>
    <row r="153" spans="1:117" x14ac:dyDescent="0.3">
      <c r="A153" s="17" t="s">
        <v>226</v>
      </c>
      <c r="B153" s="13" t="s">
        <v>227</v>
      </c>
      <c r="C153" s="13" t="s">
        <v>135</v>
      </c>
      <c r="D153" s="13">
        <v>10825.05</v>
      </c>
      <c r="E153" s="13">
        <f>46884.5165*B2</f>
        <v>46884.516499999998</v>
      </c>
      <c r="F153" s="13">
        <f>D153*E153</f>
        <v>507527235.33832496</v>
      </c>
      <c r="G153" s="14">
        <f>F153/A1</f>
        <v>6.5068558420177626E-3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8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8"/>
      <c r="CP153" s="18"/>
      <c r="CQ153" s="18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9"/>
    </row>
    <row r="154" spans="1:117" x14ac:dyDescent="0.3">
      <c r="A154" s="12"/>
      <c r="B154" s="13"/>
      <c r="C154" s="13"/>
      <c r="D154" s="13"/>
      <c r="E154" s="13"/>
      <c r="F154" s="13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20">
        <f>+$D153*BF152</f>
        <v>10161.615160649999</v>
      </c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20">
        <f>+$D153*CO152</f>
        <v>132.68263784999999</v>
      </c>
      <c r="CP154" s="20">
        <f>+$D153*CP152</f>
        <v>398.05873859999997</v>
      </c>
      <c r="CQ154" s="20">
        <f>+$D153*CQ152</f>
        <v>132.69346289999999</v>
      </c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21">
        <f>SUM(H154:DL154)</f>
        <v>10825.050000000001</v>
      </c>
    </row>
    <row r="155" spans="1:117" x14ac:dyDescent="0.3">
      <c r="A155" s="12"/>
      <c r="B155" s="13"/>
      <c r="C155" s="13"/>
      <c r="D155" s="13"/>
      <c r="E155" s="13"/>
      <c r="F155" s="13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5">
        <v>0.98296499999999998</v>
      </c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5">
        <v>8.5170000000000003E-3</v>
      </c>
      <c r="CS155" s="15">
        <v>8.5179999999999995E-3</v>
      </c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6">
        <f>SUM(H155:DL155)</f>
        <v>1</v>
      </c>
    </row>
    <row r="156" spans="1:117" x14ac:dyDescent="0.3">
      <c r="A156" s="17" t="s">
        <v>228</v>
      </c>
      <c r="B156" s="13" t="s">
        <v>229</v>
      </c>
      <c r="C156" s="13" t="s">
        <v>135</v>
      </c>
      <c r="D156" s="13">
        <v>6486.7</v>
      </c>
      <c r="E156" s="13">
        <f>47954.0339*B2</f>
        <v>47954.033900000002</v>
      </c>
      <c r="F156" s="13">
        <f>D156*E156</f>
        <v>311063431.69913</v>
      </c>
      <c r="G156" s="14">
        <f>F156/A1</f>
        <v>3.9880518065997378E-3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8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8"/>
      <c r="CS156" s="18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9"/>
    </row>
    <row r="157" spans="1:117" x14ac:dyDescent="0.3">
      <c r="A157" s="12"/>
      <c r="B157" s="13"/>
      <c r="C157" s="13"/>
      <c r="D157" s="13"/>
      <c r="E157" s="13"/>
      <c r="F157" s="13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20">
        <f>+$D156*BF155</f>
        <v>6376.1990655</v>
      </c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20">
        <f>+$D156*CR155</f>
        <v>55.247223900000002</v>
      </c>
      <c r="CS157" s="20">
        <f>+$D156*CS155</f>
        <v>55.253710599999998</v>
      </c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21">
        <f>SUM(H157:DL157)</f>
        <v>6486.7</v>
      </c>
    </row>
    <row r="158" spans="1:117" x14ac:dyDescent="0.3">
      <c r="A158" s="12"/>
      <c r="B158" s="13"/>
      <c r="C158" s="13"/>
      <c r="D158" s="13"/>
      <c r="E158" s="13"/>
      <c r="F158" s="13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5">
        <v>0.92627300000000001</v>
      </c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5">
        <v>5.5294999999999997E-2</v>
      </c>
      <c r="CR158" s="15">
        <v>1.8432E-2</v>
      </c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6">
        <f>SUM(H158:DL158)</f>
        <v>1</v>
      </c>
    </row>
    <row r="159" spans="1:117" x14ac:dyDescent="0.3">
      <c r="A159" s="17" t="s">
        <v>230</v>
      </c>
      <c r="B159" s="13" t="s">
        <v>231</v>
      </c>
      <c r="C159" s="13" t="s">
        <v>135</v>
      </c>
      <c r="D159" s="13">
        <v>765.12</v>
      </c>
      <c r="E159" s="13">
        <f>75720.2091*B2</f>
        <v>75720.209099999993</v>
      </c>
      <c r="F159" s="13">
        <f>D159*E159</f>
        <v>57935046.386591993</v>
      </c>
      <c r="G159" s="14">
        <f>F159/A1</f>
        <v>7.4276801083762375E-4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8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8"/>
      <c r="CR159" s="18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9"/>
    </row>
    <row r="160" spans="1:117" x14ac:dyDescent="0.3">
      <c r="A160" s="12"/>
      <c r="B160" s="13"/>
      <c r="C160" s="13"/>
      <c r="D160" s="13"/>
      <c r="E160" s="13"/>
      <c r="F160" s="13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20">
        <f>+$D159*BF158</f>
        <v>708.70999775999996</v>
      </c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20">
        <f>+$D159*CQ158</f>
        <v>42.307310399999999</v>
      </c>
      <c r="CR160" s="20">
        <f>+$D159*CR158</f>
        <v>14.10269184</v>
      </c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21">
        <f>SUM(H160:DL160)</f>
        <v>765.12</v>
      </c>
    </row>
    <row r="161" spans="1:117" x14ac:dyDescent="0.3">
      <c r="A161" s="12"/>
      <c r="B161" s="13"/>
      <c r="C161" s="13"/>
      <c r="D161" s="13"/>
      <c r="E161" s="13"/>
      <c r="F161" s="13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5">
        <v>0.874448</v>
      </c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5">
        <v>6.2775999999999998E-2</v>
      </c>
      <c r="DB161" s="15">
        <v>6.2775999999999998E-2</v>
      </c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6">
        <f>SUM(H161:DL161)</f>
        <v>1</v>
      </c>
    </row>
    <row r="162" spans="1:117" x14ac:dyDescent="0.3">
      <c r="A162" s="17" t="s">
        <v>232</v>
      </c>
      <c r="B162" s="13" t="s">
        <v>233</v>
      </c>
      <c r="C162" s="13" t="s">
        <v>135</v>
      </c>
      <c r="D162" s="13">
        <v>1745.25</v>
      </c>
      <c r="E162" s="13">
        <f>62859.1666*B2</f>
        <v>62859.166599999997</v>
      </c>
      <c r="F162" s="13">
        <f>D162*E162</f>
        <v>109704960.50864999</v>
      </c>
      <c r="G162" s="14">
        <f>F162/A1</f>
        <v>1.4064946932516535E-3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8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8"/>
      <c r="DB162" s="18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9"/>
    </row>
    <row r="163" spans="1:117" x14ac:dyDescent="0.3">
      <c r="A163" s="12"/>
      <c r="B163" s="13"/>
      <c r="C163" s="13"/>
      <c r="D163" s="13"/>
      <c r="E163" s="13"/>
      <c r="F163" s="13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20">
        <f>+$D162*BF161</f>
        <v>1526.1303720000001</v>
      </c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20">
        <f>+$D162*DA161</f>
        <v>109.559814</v>
      </c>
      <c r="DB163" s="20">
        <f>+$D162*DB161</f>
        <v>109.559814</v>
      </c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21">
        <f>SUM(H163:DL163)</f>
        <v>1745.25</v>
      </c>
    </row>
    <row r="164" spans="1:117" x14ac:dyDescent="0.3">
      <c r="A164" s="12"/>
      <c r="B164" s="13"/>
      <c r="C164" s="13"/>
      <c r="D164" s="13"/>
      <c r="E164" s="13"/>
      <c r="F164" s="13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5">
        <v>0.96855999999999998</v>
      </c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5">
        <v>1.5720000000000001E-2</v>
      </c>
      <c r="CN164" s="15">
        <v>1.5719E-2</v>
      </c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6">
        <f>SUM(H164:DL164)</f>
        <v>0.99999899999999997</v>
      </c>
    </row>
    <row r="165" spans="1:117" x14ac:dyDescent="0.3">
      <c r="A165" s="17" t="s">
        <v>234</v>
      </c>
      <c r="B165" s="13" t="s">
        <v>235</v>
      </c>
      <c r="C165" s="13" t="s">
        <v>135</v>
      </c>
      <c r="D165" s="13">
        <v>2717.6</v>
      </c>
      <c r="E165" s="13">
        <f>44882.1184*B2</f>
        <v>44882.118399999999</v>
      </c>
      <c r="F165" s="13">
        <f>D165*E165</f>
        <v>121971644.96383999</v>
      </c>
      <c r="G165" s="14">
        <f>F165/A1</f>
        <v>1.5637622088682964E-3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8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8"/>
      <c r="CN165" s="18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9"/>
    </row>
    <row r="166" spans="1:117" x14ac:dyDescent="0.3">
      <c r="A166" s="12"/>
      <c r="B166" s="13"/>
      <c r="C166" s="13"/>
      <c r="D166" s="13"/>
      <c r="E166" s="13"/>
      <c r="F166" s="13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20">
        <f>+$D165*BF164</f>
        <v>2632.1586560000001</v>
      </c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20">
        <f>+$D165*CM164</f>
        <v>42.720672</v>
      </c>
      <c r="CN166" s="20">
        <f>+$D165*CN164</f>
        <v>42.717954399999996</v>
      </c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21">
        <f>SUM(H166:DL166)</f>
        <v>2717.5972824</v>
      </c>
    </row>
    <row r="167" spans="1:117" x14ac:dyDescent="0.3">
      <c r="A167" s="12"/>
      <c r="B167" s="13"/>
      <c r="C167" s="13"/>
      <c r="D167" s="13"/>
      <c r="E167" s="13"/>
      <c r="F167" s="13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5">
        <v>1</v>
      </c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6">
        <f>SUM(H167:DL167)</f>
        <v>1</v>
      </c>
    </row>
    <row r="168" spans="1:117" x14ac:dyDescent="0.3">
      <c r="A168" s="17" t="s">
        <v>236</v>
      </c>
      <c r="B168" s="13" t="s">
        <v>237</v>
      </c>
      <c r="C168" s="13" t="s">
        <v>135</v>
      </c>
      <c r="D168" s="13">
        <v>7319.3</v>
      </c>
      <c r="E168" s="13">
        <f>63088.3737*B2</f>
        <v>63088.373699999996</v>
      </c>
      <c r="F168" s="13">
        <f>D168*E168</f>
        <v>461762733.62241</v>
      </c>
      <c r="G168" s="14">
        <f>F168/A1</f>
        <v>5.9201227671932628E-3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8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9"/>
    </row>
    <row r="169" spans="1:117" x14ac:dyDescent="0.3">
      <c r="A169" s="12"/>
      <c r="B169" s="13"/>
      <c r="C169" s="13"/>
      <c r="D169" s="13"/>
      <c r="E169" s="13"/>
      <c r="F169" s="13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20">
        <f>+$D168*BF167</f>
        <v>7319.3</v>
      </c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21">
        <f>SUM(H169:DL169)</f>
        <v>7319.3</v>
      </c>
    </row>
    <row r="170" spans="1:117" x14ac:dyDescent="0.3">
      <c r="A170" s="12"/>
      <c r="B170" s="13"/>
      <c r="C170" s="13"/>
      <c r="D170" s="13"/>
      <c r="E170" s="13"/>
      <c r="F170" s="13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5">
        <v>1.7163999999999999E-2</v>
      </c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5">
        <v>1.21E-2</v>
      </c>
      <c r="CN170" s="15">
        <v>3.8829000000000002E-2</v>
      </c>
      <c r="CO170" s="15">
        <v>3.8829000000000002E-2</v>
      </c>
      <c r="CP170" s="15">
        <v>3.8829000000000002E-2</v>
      </c>
      <c r="CQ170" s="15">
        <v>3.8829000000000002E-2</v>
      </c>
      <c r="CR170" s="15">
        <v>3.8829000000000002E-2</v>
      </c>
      <c r="CS170" s="15">
        <v>3.8829000000000002E-2</v>
      </c>
      <c r="CT170" s="15">
        <v>3.8829000000000002E-2</v>
      </c>
      <c r="CU170" s="15">
        <v>3.8829000000000002E-2</v>
      </c>
      <c r="CV170" s="15">
        <v>3.8829000000000002E-2</v>
      </c>
      <c r="CW170" s="15">
        <v>3.8829000000000002E-2</v>
      </c>
      <c r="CX170" s="15">
        <v>3.8829000000000002E-2</v>
      </c>
      <c r="CY170" s="15">
        <v>3.8829000000000002E-2</v>
      </c>
      <c r="CZ170" s="15">
        <v>3.8829000000000002E-2</v>
      </c>
      <c r="DA170" s="15">
        <v>3.8829000000000002E-2</v>
      </c>
      <c r="DB170" s="15">
        <v>3.8829000000000002E-2</v>
      </c>
      <c r="DC170" s="15">
        <v>3.8829000000000002E-2</v>
      </c>
      <c r="DD170" s="15">
        <v>3.8829000000000002E-2</v>
      </c>
      <c r="DE170" s="15">
        <v>3.8829000000000002E-2</v>
      </c>
      <c r="DF170" s="15">
        <v>3.8829000000000002E-2</v>
      </c>
      <c r="DG170" s="15">
        <v>3.8829000000000002E-2</v>
      </c>
      <c r="DH170" s="15">
        <v>3.8829000000000002E-2</v>
      </c>
      <c r="DI170" s="15">
        <v>3.8829000000000002E-2</v>
      </c>
      <c r="DJ170" s="15">
        <v>3.8829000000000002E-2</v>
      </c>
      <c r="DK170" s="15">
        <v>3.8829000000000002E-2</v>
      </c>
      <c r="DL170" s="15">
        <v>3.884E-2</v>
      </c>
      <c r="DM170" s="16">
        <f>SUM(H170:DL170)</f>
        <v>1</v>
      </c>
    </row>
    <row r="171" spans="1:117" x14ac:dyDescent="0.3">
      <c r="A171" s="17" t="s">
        <v>238</v>
      </c>
      <c r="B171" s="13" t="s">
        <v>239</v>
      </c>
      <c r="C171" s="13" t="s">
        <v>135</v>
      </c>
      <c r="D171" s="13">
        <v>57850.720000000001</v>
      </c>
      <c r="E171" s="13">
        <f>30931.3259*B2</f>
        <v>30931.3259</v>
      </c>
      <c r="F171" s="13">
        <f>D171*E171</f>
        <v>1789399473.869648</v>
      </c>
      <c r="G171" s="14">
        <f>F171/A1</f>
        <v>2.294135882676443E-2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8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9"/>
    </row>
    <row r="172" spans="1:117" x14ac:dyDescent="0.3">
      <c r="A172" s="12"/>
      <c r="B172" s="13"/>
      <c r="C172" s="13"/>
      <c r="D172" s="13"/>
      <c r="E172" s="13"/>
      <c r="F172" s="13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20">
        <f>+$D171*BF170</f>
        <v>992.94975807999992</v>
      </c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20">
        <f t="shared" ref="CM172:DL172" si="5">+$D171*CM170</f>
        <v>699.99371199999996</v>
      </c>
      <c r="CN172" s="20">
        <f t="shared" si="5"/>
        <v>2246.2856068800002</v>
      </c>
      <c r="CO172" s="20">
        <f t="shared" si="5"/>
        <v>2246.2856068800002</v>
      </c>
      <c r="CP172" s="20">
        <f t="shared" si="5"/>
        <v>2246.2856068800002</v>
      </c>
      <c r="CQ172" s="20">
        <f t="shared" si="5"/>
        <v>2246.2856068800002</v>
      </c>
      <c r="CR172" s="20">
        <f t="shared" si="5"/>
        <v>2246.2856068800002</v>
      </c>
      <c r="CS172" s="20">
        <f t="shared" si="5"/>
        <v>2246.2856068800002</v>
      </c>
      <c r="CT172" s="20">
        <f t="shared" si="5"/>
        <v>2246.2856068800002</v>
      </c>
      <c r="CU172" s="20">
        <f t="shared" si="5"/>
        <v>2246.2856068800002</v>
      </c>
      <c r="CV172" s="20">
        <f t="shared" si="5"/>
        <v>2246.2856068800002</v>
      </c>
      <c r="CW172" s="20">
        <f t="shared" si="5"/>
        <v>2246.2856068800002</v>
      </c>
      <c r="CX172" s="20">
        <f t="shared" si="5"/>
        <v>2246.2856068800002</v>
      </c>
      <c r="CY172" s="20">
        <f t="shared" si="5"/>
        <v>2246.2856068800002</v>
      </c>
      <c r="CZ172" s="20">
        <f t="shared" si="5"/>
        <v>2246.2856068800002</v>
      </c>
      <c r="DA172" s="20">
        <f t="shared" si="5"/>
        <v>2246.2856068800002</v>
      </c>
      <c r="DB172" s="20">
        <f t="shared" si="5"/>
        <v>2246.2856068800002</v>
      </c>
      <c r="DC172" s="20">
        <f t="shared" si="5"/>
        <v>2246.2856068800002</v>
      </c>
      <c r="DD172" s="20">
        <f t="shared" si="5"/>
        <v>2246.2856068800002</v>
      </c>
      <c r="DE172" s="20">
        <f t="shared" si="5"/>
        <v>2246.2856068800002</v>
      </c>
      <c r="DF172" s="20">
        <f t="shared" si="5"/>
        <v>2246.2856068800002</v>
      </c>
      <c r="DG172" s="20">
        <f t="shared" si="5"/>
        <v>2246.2856068800002</v>
      </c>
      <c r="DH172" s="20">
        <f t="shared" si="5"/>
        <v>2246.2856068800002</v>
      </c>
      <c r="DI172" s="20">
        <f t="shared" si="5"/>
        <v>2246.2856068800002</v>
      </c>
      <c r="DJ172" s="20">
        <f t="shared" si="5"/>
        <v>2246.2856068800002</v>
      </c>
      <c r="DK172" s="20">
        <f t="shared" si="5"/>
        <v>2246.2856068800002</v>
      </c>
      <c r="DL172" s="20">
        <f t="shared" si="5"/>
        <v>2246.9219647999998</v>
      </c>
      <c r="DM172" s="21">
        <f>SUM(H172:DL172)</f>
        <v>57850.720000000023</v>
      </c>
    </row>
    <row r="173" spans="1:117" x14ac:dyDescent="0.3">
      <c r="A173" s="12"/>
      <c r="B173" s="13"/>
      <c r="C173" s="13"/>
      <c r="D173" s="13"/>
      <c r="E173" s="13"/>
      <c r="F173" s="13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5">
        <v>0.33333299999999999</v>
      </c>
      <c r="CO173" s="15">
        <v>0.66666700000000001</v>
      </c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6">
        <f>SUM(H173:DL173)</f>
        <v>1</v>
      </c>
    </row>
    <row r="174" spans="1:117" x14ac:dyDescent="0.3">
      <c r="A174" s="17" t="s">
        <v>240</v>
      </c>
      <c r="B174" s="13" t="s">
        <v>241</v>
      </c>
      <c r="C174" s="13" t="s">
        <v>135</v>
      </c>
      <c r="D174" s="13">
        <v>683.56</v>
      </c>
      <c r="E174" s="13">
        <f>62859.1666*B2</f>
        <v>62859.166599999997</v>
      </c>
      <c r="F174" s="13">
        <f>D174*E174</f>
        <v>42968011.921095997</v>
      </c>
      <c r="G174" s="14">
        <f>F174/A1</f>
        <v>5.5088011031032827E-4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8"/>
      <c r="CO174" s="18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9"/>
    </row>
    <row r="175" spans="1:117" x14ac:dyDescent="0.3">
      <c r="A175" s="12"/>
      <c r="B175" s="13"/>
      <c r="C175" s="13"/>
      <c r="D175" s="13"/>
      <c r="E175" s="13"/>
      <c r="F175" s="13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20">
        <f>+$D174*CN173</f>
        <v>227.85310547999998</v>
      </c>
      <c r="CO175" s="20">
        <f>+$D174*CO173</f>
        <v>455.70689451999999</v>
      </c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21">
        <f>SUM(H175:DL175)</f>
        <v>683.56</v>
      </c>
    </row>
    <row r="176" spans="1:117" x14ac:dyDescent="0.3">
      <c r="A176" s="12"/>
      <c r="B176" s="13"/>
      <c r="C176" s="13"/>
      <c r="D176" s="13"/>
      <c r="E176" s="13"/>
      <c r="F176" s="13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5">
        <v>0.4</v>
      </c>
      <c r="CO176" s="15">
        <v>0.6</v>
      </c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6">
        <f>SUM(H176:DL176)</f>
        <v>1</v>
      </c>
    </row>
    <row r="177" spans="1:117" x14ac:dyDescent="0.3">
      <c r="A177" s="17" t="s">
        <v>242</v>
      </c>
      <c r="B177" s="13" t="s">
        <v>243</v>
      </c>
      <c r="C177" s="13" t="s">
        <v>135</v>
      </c>
      <c r="D177" s="13">
        <v>823.43</v>
      </c>
      <c r="E177" s="13">
        <f>58716.591*B2</f>
        <v>58716.591</v>
      </c>
      <c r="F177" s="13">
        <f>D177*E177</f>
        <v>48349002.52713</v>
      </c>
      <c r="G177" s="14">
        <f>F177/A1</f>
        <v>6.1986819158516796E-4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8"/>
      <c r="CO177" s="18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9"/>
    </row>
    <row r="178" spans="1:117" x14ac:dyDescent="0.3">
      <c r="A178" s="12"/>
      <c r="B178" s="13"/>
      <c r="C178" s="13"/>
      <c r="D178" s="13"/>
      <c r="E178" s="13"/>
      <c r="F178" s="13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20">
        <f>+$D177*CN176</f>
        <v>329.37200000000001</v>
      </c>
      <c r="CO178" s="20">
        <f>+$D177*CO176</f>
        <v>494.05799999999994</v>
      </c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21">
        <f>SUM(H178:DL178)</f>
        <v>823.43</v>
      </c>
    </row>
    <row r="179" spans="1:117" x14ac:dyDescent="0.3">
      <c r="A179" s="8" t="s">
        <v>244</v>
      </c>
      <c r="B179" s="9" t="s">
        <v>245</v>
      </c>
      <c r="C179" s="9"/>
      <c r="D179" s="9"/>
      <c r="E179" s="9"/>
      <c r="F179" s="9"/>
      <c r="G179" s="1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11"/>
    </row>
    <row r="180" spans="1:117" x14ac:dyDescent="0.3">
      <c r="A180" s="12"/>
      <c r="B180" s="13"/>
      <c r="C180" s="13"/>
      <c r="D180" s="13"/>
      <c r="E180" s="13"/>
      <c r="F180" s="13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6">
        <f>SUM(H180:DL180)</f>
        <v>0</v>
      </c>
    </row>
    <row r="181" spans="1:117" x14ac:dyDescent="0.3">
      <c r="A181" s="17" t="s">
        <v>246</v>
      </c>
      <c r="B181" s="13" t="s">
        <v>247</v>
      </c>
      <c r="C181" s="13" t="s">
        <v>135</v>
      </c>
      <c r="D181" s="13">
        <v>0</v>
      </c>
      <c r="E181" s="13">
        <f>0*B2</f>
        <v>0</v>
      </c>
      <c r="F181" s="13">
        <f>D181*E181</f>
        <v>0</v>
      </c>
      <c r="G181" s="14">
        <f>F181/A1</f>
        <v>0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9"/>
    </row>
    <row r="182" spans="1:117" x14ac:dyDescent="0.3">
      <c r="A182" s="12"/>
      <c r="B182" s="13"/>
      <c r="C182" s="13"/>
      <c r="D182" s="13"/>
      <c r="E182" s="13"/>
      <c r="F182" s="13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21">
        <f>SUM(H182:DL182)</f>
        <v>0</v>
      </c>
    </row>
    <row r="183" spans="1:117" x14ac:dyDescent="0.3">
      <c r="A183" s="12"/>
      <c r="B183" s="13"/>
      <c r="C183" s="13"/>
      <c r="D183" s="13"/>
      <c r="E183" s="13"/>
      <c r="F183" s="13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5">
        <v>0.97150099999999995</v>
      </c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5">
        <v>7.1250000000000003E-3</v>
      </c>
      <c r="CT183" s="15">
        <v>7.1250000000000003E-3</v>
      </c>
      <c r="CU183" s="15">
        <v>7.1250000000000003E-3</v>
      </c>
      <c r="CV183" s="15">
        <v>7.1240000000000001E-3</v>
      </c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6">
        <f>SUM(H183:DL183)</f>
        <v>1</v>
      </c>
    </row>
    <row r="184" spans="1:117" x14ac:dyDescent="0.3">
      <c r="A184" s="17" t="s">
        <v>248</v>
      </c>
      <c r="B184" s="13" t="s">
        <v>249</v>
      </c>
      <c r="C184" s="13" t="s">
        <v>135</v>
      </c>
      <c r="D184" s="13">
        <v>18035.29</v>
      </c>
      <c r="E184" s="13">
        <f>33301.5565*B2</f>
        <v>33301.556499999999</v>
      </c>
      <c r="F184" s="13">
        <f>D184*E184</f>
        <v>600603228.92888498</v>
      </c>
      <c r="G184" s="14">
        <f>F184/A1</f>
        <v>7.7001554927106372E-3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8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8"/>
      <c r="CT184" s="18"/>
      <c r="CU184" s="18"/>
      <c r="CV184" s="18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9"/>
    </row>
    <row r="185" spans="1:117" x14ac:dyDescent="0.3">
      <c r="A185" s="12"/>
      <c r="B185" s="13"/>
      <c r="C185" s="13"/>
      <c r="D185" s="13"/>
      <c r="E185" s="13"/>
      <c r="F185" s="13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20">
        <f>+$D184*BF183</f>
        <v>17521.302270290002</v>
      </c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20">
        <f>+$D184*CS183</f>
        <v>128.50144125</v>
      </c>
      <c r="CT185" s="20">
        <f>+$D184*CT183</f>
        <v>128.50144125</v>
      </c>
      <c r="CU185" s="20">
        <f>+$D184*CU183</f>
        <v>128.50144125</v>
      </c>
      <c r="CV185" s="20">
        <f>+$D184*CV183</f>
        <v>128.48340596</v>
      </c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21">
        <f>SUM(H185:DL185)</f>
        <v>18035.289999999997</v>
      </c>
    </row>
    <row r="186" spans="1:117" x14ac:dyDescent="0.3">
      <c r="A186" s="12"/>
      <c r="B186" s="13"/>
      <c r="C186" s="13"/>
      <c r="D186" s="13"/>
      <c r="E186" s="13"/>
      <c r="F186" s="13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5">
        <v>0.33333099999999999</v>
      </c>
      <c r="CL186" s="15">
        <v>0.66666899999999996</v>
      </c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6">
        <f>SUM(H186:DL186)</f>
        <v>1</v>
      </c>
    </row>
    <row r="187" spans="1:117" x14ac:dyDescent="0.3">
      <c r="A187" s="17" t="s">
        <v>250</v>
      </c>
      <c r="B187" s="13" t="s">
        <v>251</v>
      </c>
      <c r="C187" s="13" t="s">
        <v>135</v>
      </c>
      <c r="D187" s="13">
        <v>1695.01</v>
      </c>
      <c r="E187" s="13">
        <f>38378.3*B2</f>
        <v>38378.300000000003</v>
      </c>
      <c r="F187" s="13">
        <f>D187*E187</f>
        <v>65051602.283000007</v>
      </c>
      <c r="G187" s="14">
        <f>F187/A1</f>
        <v>8.3400725887269704E-4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8"/>
      <c r="CL187" s="18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9"/>
    </row>
    <row r="188" spans="1:117" x14ac:dyDescent="0.3">
      <c r="A188" s="12"/>
      <c r="B188" s="13"/>
      <c r="C188" s="13"/>
      <c r="D188" s="13"/>
      <c r="E188" s="13"/>
      <c r="F188" s="13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20">
        <f>+$D187*CK186</f>
        <v>564.99937831</v>
      </c>
      <c r="CL188" s="20">
        <f>+$D187*CL186</f>
        <v>1130.0106216899999</v>
      </c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21">
        <f>SUM(H188:DL188)</f>
        <v>1695.0099999999998</v>
      </c>
    </row>
    <row r="189" spans="1:117" x14ac:dyDescent="0.3">
      <c r="A189" s="12"/>
      <c r="B189" s="13"/>
      <c r="C189" s="13"/>
      <c r="D189" s="13"/>
      <c r="E189" s="13"/>
      <c r="F189" s="13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5">
        <v>0.80151399999999995</v>
      </c>
      <c r="BG189" s="13"/>
      <c r="BH189" s="15">
        <v>4.7017000000000003E-2</v>
      </c>
      <c r="BI189" s="13"/>
      <c r="BJ189" s="13"/>
      <c r="BK189" s="15">
        <v>1.6800000000000001E-3</v>
      </c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5">
        <v>0.104852</v>
      </c>
      <c r="CN189" s="15">
        <v>4.4936999999999998E-2</v>
      </c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6">
        <f>SUM(H189:DL189)</f>
        <v>1</v>
      </c>
    </row>
    <row r="190" spans="1:117" x14ac:dyDescent="0.3">
      <c r="A190" s="17" t="s">
        <v>252</v>
      </c>
      <c r="B190" s="13" t="s">
        <v>253</v>
      </c>
      <c r="C190" s="13" t="s">
        <v>135</v>
      </c>
      <c r="D190" s="13">
        <v>18092.37</v>
      </c>
      <c r="E190" s="13">
        <f>30867.5555*B2</f>
        <v>30867.555499999999</v>
      </c>
      <c r="F190" s="13">
        <f>D190*E190</f>
        <v>558467235.10153496</v>
      </c>
      <c r="G190" s="14">
        <f>F190/A1</f>
        <v>7.1599424390959886E-3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8"/>
      <c r="BG190" s="13"/>
      <c r="BH190" s="18"/>
      <c r="BI190" s="13"/>
      <c r="BJ190" s="13"/>
      <c r="BK190" s="18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8"/>
      <c r="CN190" s="18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9"/>
    </row>
    <row r="191" spans="1:117" x14ac:dyDescent="0.3">
      <c r="A191" s="12"/>
      <c r="B191" s="13"/>
      <c r="C191" s="13"/>
      <c r="D191" s="13"/>
      <c r="E191" s="13"/>
      <c r="F191" s="13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20">
        <f>+$D190*BF189</f>
        <v>14501.287848179998</v>
      </c>
      <c r="BG191" s="13"/>
      <c r="BH191" s="20">
        <f>+$D190*BH189</f>
        <v>850.64896028999999</v>
      </c>
      <c r="BI191" s="13"/>
      <c r="BJ191" s="13"/>
      <c r="BK191" s="20">
        <f>+$D190*BK189</f>
        <v>30.395181600000001</v>
      </c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20">
        <f>+$D190*CM189</f>
        <v>1897.0211792399998</v>
      </c>
      <c r="CN191" s="20">
        <f>+$D190*CN189</f>
        <v>813.01683068999989</v>
      </c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21">
        <f>SUM(H191:DL191)</f>
        <v>18092.37</v>
      </c>
    </row>
    <row r="192" spans="1:117" x14ac:dyDescent="0.3">
      <c r="A192" s="12"/>
      <c r="B192" s="13"/>
      <c r="C192" s="13"/>
      <c r="D192" s="13"/>
      <c r="E192" s="13"/>
      <c r="F192" s="13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5">
        <v>0.78426099999999999</v>
      </c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5">
        <v>4.3147999999999999E-2</v>
      </c>
      <c r="CP192" s="15">
        <v>0.129443</v>
      </c>
      <c r="CQ192" s="15">
        <v>4.3147999999999999E-2</v>
      </c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6">
        <f>SUM(H192:DL192)</f>
        <v>0.99999999999999989</v>
      </c>
    </row>
    <row r="193" spans="1:117" x14ac:dyDescent="0.3">
      <c r="A193" s="17" t="s">
        <v>254</v>
      </c>
      <c r="B193" s="13" t="s">
        <v>255</v>
      </c>
      <c r="C193" s="13" t="s">
        <v>135</v>
      </c>
      <c r="D193" s="13">
        <v>12324.86</v>
      </c>
      <c r="E193" s="13">
        <f>43312.6742*B2</f>
        <v>43312.674200000001</v>
      </c>
      <c r="F193" s="13">
        <f>D193*E193</f>
        <v>533822645.74061203</v>
      </c>
      <c r="G193" s="14">
        <f>F193/A1</f>
        <v>6.8439814835221406E-3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8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8"/>
      <c r="CP193" s="18"/>
      <c r="CQ193" s="18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9"/>
    </row>
    <row r="194" spans="1:117" x14ac:dyDescent="0.3">
      <c r="A194" s="12"/>
      <c r="B194" s="13"/>
      <c r="C194" s="13"/>
      <c r="D194" s="13"/>
      <c r="E194" s="13"/>
      <c r="F194" s="13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20">
        <f>+$D193*BF192</f>
        <v>9665.9070284600002</v>
      </c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20">
        <f>+$D193*CO192</f>
        <v>531.79305927999997</v>
      </c>
      <c r="CP194" s="20">
        <f>+$D193*CP192</f>
        <v>1595.3668529800002</v>
      </c>
      <c r="CQ194" s="20">
        <f>+$D193*CQ192</f>
        <v>531.79305927999997</v>
      </c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21">
        <f>SUM(H194:DL194)</f>
        <v>12324.86</v>
      </c>
    </row>
    <row r="195" spans="1:117" x14ac:dyDescent="0.3">
      <c r="A195" s="12"/>
      <c r="B195" s="13"/>
      <c r="C195" s="13"/>
      <c r="D195" s="13"/>
      <c r="E195" s="13"/>
      <c r="F195" s="13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5">
        <v>0.98202900000000004</v>
      </c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5">
        <v>8.9849999999999999E-3</v>
      </c>
      <c r="CS195" s="15">
        <v>8.9859999999999992E-3</v>
      </c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6">
        <f>SUM(H195:DL195)</f>
        <v>1</v>
      </c>
    </row>
    <row r="196" spans="1:117" x14ac:dyDescent="0.3">
      <c r="A196" s="17" t="s">
        <v>256</v>
      </c>
      <c r="B196" s="13" t="s">
        <v>257</v>
      </c>
      <c r="C196" s="13" t="s">
        <v>135</v>
      </c>
      <c r="D196" s="13">
        <v>9330.0499999999993</v>
      </c>
      <c r="E196" s="13">
        <f>36909.3381*B2</f>
        <v>36909.338100000001</v>
      </c>
      <c r="F196" s="13">
        <f>D196*E196</f>
        <v>344365969.93990499</v>
      </c>
      <c r="G196" s="14">
        <f>F196/A1</f>
        <v>4.4150137515317272E-3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8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8"/>
      <c r="CS196" s="18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9"/>
    </row>
    <row r="197" spans="1:117" x14ac:dyDescent="0.3">
      <c r="A197" s="12"/>
      <c r="B197" s="13"/>
      <c r="C197" s="13"/>
      <c r="D197" s="13"/>
      <c r="E197" s="13"/>
      <c r="F197" s="13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20">
        <f>+$D196*BF195</f>
        <v>9162.3796714500004</v>
      </c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20">
        <f>+$D196*CR195</f>
        <v>83.830499249999988</v>
      </c>
      <c r="CS197" s="20">
        <f>+$D196*CS195</f>
        <v>83.839829299999991</v>
      </c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21">
        <f>SUM(H197:DL197)</f>
        <v>9330.0499999999993</v>
      </c>
    </row>
    <row r="198" spans="1:117" x14ac:dyDescent="0.3">
      <c r="A198" s="12"/>
      <c r="B198" s="13"/>
      <c r="C198" s="13"/>
      <c r="D198" s="13"/>
      <c r="E198" s="13"/>
      <c r="F198" s="13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5">
        <v>0.90817499999999995</v>
      </c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5">
        <v>6.8869E-2</v>
      </c>
      <c r="CR198" s="15">
        <v>2.2956000000000001E-2</v>
      </c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6">
        <f>SUM(H198:DL198)</f>
        <v>0.99999999999999989</v>
      </c>
    </row>
    <row r="199" spans="1:117" x14ac:dyDescent="0.3">
      <c r="A199" s="17" t="s">
        <v>258</v>
      </c>
      <c r="B199" s="13" t="s">
        <v>259</v>
      </c>
      <c r="C199" s="13" t="s">
        <v>135</v>
      </c>
      <c r="D199" s="13">
        <v>1632.45</v>
      </c>
      <c r="E199" s="13">
        <f>41149.4626*B2</f>
        <v>41149.462599999999</v>
      </c>
      <c r="F199" s="13">
        <f>D199*E199</f>
        <v>67174440.221369997</v>
      </c>
      <c r="G199" s="14">
        <f>F199/A1</f>
        <v>8.6122353315151831E-4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8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8"/>
      <c r="CR199" s="18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9"/>
    </row>
    <row r="200" spans="1:117" x14ac:dyDescent="0.3">
      <c r="A200" s="12"/>
      <c r="B200" s="13"/>
      <c r="C200" s="13"/>
      <c r="D200" s="13"/>
      <c r="E200" s="13"/>
      <c r="F200" s="13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20">
        <f>+$D199*BF198</f>
        <v>1482.55027875</v>
      </c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20">
        <f>+$D199*CQ198</f>
        <v>112.42519905</v>
      </c>
      <c r="CR200" s="20">
        <f>+$D199*CR198</f>
        <v>37.474522200000003</v>
      </c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21">
        <f>SUM(H200:DL200)</f>
        <v>1632.4499999999998</v>
      </c>
    </row>
    <row r="201" spans="1:117" x14ac:dyDescent="0.3">
      <c r="A201" s="12"/>
      <c r="B201" s="13"/>
      <c r="C201" s="13"/>
      <c r="D201" s="13"/>
      <c r="E201" s="13"/>
      <c r="F201" s="13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5">
        <v>0.96681499999999998</v>
      </c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5">
        <v>1.6591999999999999E-2</v>
      </c>
      <c r="DB201" s="15">
        <v>1.6593E-2</v>
      </c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6">
        <f>SUM(H201:DL201)</f>
        <v>1</v>
      </c>
    </row>
    <row r="202" spans="1:117" x14ac:dyDescent="0.3">
      <c r="A202" s="17" t="s">
        <v>260</v>
      </c>
      <c r="B202" s="13" t="s">
        <v>261</v>
      </c>
      <c r="C202" s="13" t="s">
        <v>135</v>
      </c>
      <c r="D202" s="13">
        <v>2937.5</v>
      </c>
      <c r="E202" s="13">
        <f>41948.6634*B2</f>
        <v>41948.663399999998</v>
      </c>
      <c r="F202" s="13">
        <f>D202*E202</f>
        <v>123224198.7375</v>
      </c>
      <c r="G202" s="14">
        <f>F202/A1</f>
        <v>1.5798208285286736E-3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8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8"/>
      <c r="DB202" s="18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9"/>
    </row>
    <row r="203" spans="1:117" x14ac:dyDescent="0.3">
      <c r="A203" s="12"/>
      <c r="B203" s="13"/>
      <c r="C203" s="13"/>
      <c r="D203" s="13"/>
      <c r="E203" s="13"/>
      <c r="F203" s="13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20">
        <f>+$D202*BF201</f>
        <v>2840.0190625</v>
      </c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20">
        <f>+$D202*DA201</f>
        <v>48.738999999999997</v>
      </c>
      <c r="DB203" s="20">
        <f>+$D202*DB201</f>
        <v>48.741937499999999</v>
      </c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21">
        <f>SUM(H203:DL203)</f>
        <v>2937.5</v>
      </c>
    </row>
    <row r="204" spans="1:117" x14ac:dyDescent="0.3">
      <c r="A204" s="12"/>
      <c r="B204" s="13"/>
      <c r="C204" s="13"/>
      <c r="D204" s="13"/>
      <c r="E204" s="13"/>
      <c r="F204" s="13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5">
        <v>0.95787699999999998</v>
      </c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5">
        <v>2.1061E-2</v>
      </c>
      <c r="CN204" s="15">
        <v>2.1062000000000001E-2</v>
      </c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6">
        <f>SUM(H204:DL204)</f>
        <v>1</v>
      </c>
    </row>
    <row r="205" spans="1:117" x14ac:dyDescent="0.3">
      <c r="A205" s="17" t="s">
        <v>262</v>
      </c>
      <c r="B205" s="13" t="s">
        <v>263</v>
      </c>
      <c r="C205" s="13" t="s">
        <v>135</v>
      </c>
      <c r="D205" s="13">
        <v>3546.78</v>
      </c>
      <c r="E205" s="13">
        <f>37329.4345*B2</f>
        <v>37329.434500000003</v>
      </c>
      <c r="F205" s="13">
        <f>D205*E205</f>
        <v>132399291.69591002</v>
      </c>
      <c r="G205" s="14">
        <f>F205/A1</f>
        <v>1.6974519684175287E-3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8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8"/>
      <c r="CN205" s="18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9"/>
    </row>
    <row r="206" spans="1:117" x14ac:dyDescent="0.3">
      <c r="A206" s="12"/>
      <c r="B206" s="13"/>
      <c r="C206" s="13"/>
      <c r="D206" s="13"/>
      <c r="E206" s="13"/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20">
        <f>+$D205*BF204</f>
        <v>3397.37898606</v>
      </c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20">
        <f>+$D205*CM204</f>
        <v>74.69873358000001</v>
      </c>
      <c r="CN206" s="20">
        <f>+$D205*CN204</f>
        <v>74.702280360000003</v>
      </c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21">
        <f>SUM(H206:DL206)</f>
        <v>3546.7799999999997</v>
      </c>
    </row>
    <row r="207" spans="1:117" x14ac:dyDescent="0.3">
      <c r="A207" s="12"/>
      <c r="B207" s="13"/>
      <c r="C207" s="13"/>
      <c r="D207" s="13"/>
      <c r="E207" s="13"/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5">
        <v>1</v>
      </c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6">
        <f>SUM(H207:DL207)</f>
        <v>1</v>
      </c>
    </row>
    <row r="208" spans="1:117" x14ac:dyDescent="0.3">
      <c r="A208" s="17" t="s">
        <v>264</v>
      </c>
      <c r="B208" s="13" t="s">
        <v>265</v>
      </c>
      <c r="C208" s="13" t="s">
        <v>135</v>
      </c>
      <c r="D208" s="13">
        <v>8844.2999999999993</v>
      </c>
      <c r="E208" s="13">
        <f>55284.3206*B2</f>
        <v>55284.320599999999</v>
      </c>
      <c r="F208" s="13">
        <f>D208*E208</f>
        <v>488951116.68257993</v>
      </c>
      <c r="G208" s="14">
        <f>F208/A1</f>
        <v>6.2686969457438034E-3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8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9"/>
    </row>
    <row r="209" spans="1:117" x14ac:dyDescent="0.3">
      <c r="A209" s="12"/>
      <c r="B209" s="13"/>
      <c r="C209" s="13"/>
      <c r="D209" s="13"/>
      <c r="E209" s="13"/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20">
        <f>+$D208*BF207</f>
        <v>8844.2999999999993</v>
      </c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21">
        <f>SUM(H209:DL209)</f>
        <v>8844.2999999999993</v>
      </c>
    </row>
    <row r="210" spans="1:117" x14ac:dyDescent="0.3">
      <c r="A210" s="12"/>
      <c r="B210" s="13"/>
      <c r="C210" s="13"/>
      <c r="D210" s="13"/>
      <c r="E210" s="13"/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5">
        <v>1.9258999999999998E-2</v>
      </c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5">
        <v>1.5747000000000001E-2</v>
      </c>
      <c r="CN210" s="15">
        <v>3.8600000000000002E-2</v>
      </c>
      <c r="CO210" s="15">
        <v>3.8600000000000002E-2</v>
      </c>
      <c r="CP210" s="15">
        <v>3.8600000000000002E-2</v>
      </c>
      <c r="CQ210" s="15">
        <v>3.8600000000000002E-2</v>
      </c>
      <c r="CR210" s="15">
        <v>3.8600000000000002E-2</v>
      </c>
      <c r="CS210" s="15">
        <v>3.8600000000000002E-2</v>
      </c>
      <c r="CT210" s="15">
        <v>3.8600000000000002E-2</v>
      </c>
      <c r="CU210" s="15">
        <v>3.8600000000000002E-2</v>
      </c>
      <c r="CV210" s="15">
        <v>3.8600000000000002E-2</v>
      </c>
      <c r="CW210" s="15">
        <v>3.8600000000000002E-2</v>
      </c>
      <c r="CX210" s="15">
        <v>3.8600000000000002E-2</v>
      </c>
      <c r="CY210" s="15">
        <v>3.8600000000000002E-2</v>
      </c>
      <c r="CZ210" s="15">
        <v>3.8600000000000002E-2</v>
      </c>
      <c r="DA210" s="15">
        <v>3.8600000000000002E-2</v>
      </c>
      <c r="DB210" s="15">
        <v>3.8600000000000002E-2</v>
      </c>
      <c r="DC210" s="15">
        <v>3.8600000000000002E-2</v>
      </c>
      <c r="DD210" s="15">
        <v>3.8600000000000002E-2</v>
      </c>
      <c r="DE210" s="15">
        <v>3.8600000000000002E-2</v>
      </c>
      <c r="DF210" s="15">
        <v>3.8600000000000002E-2</v>
      </c>
      <c r="DG210" s="15">
        <v>3.8600000000000002E-2</v>
      </c>
      <c r="DH210" s="15">
        <v>3.8600000000000002E-2</v>
      </c>
      <c r="DI210" s="15">
        <v>3.8600000000000002E-2</v>
      </c>
      <c r="DJ210" s="15">
        <v>3.8600000000000002E-2</v>
      </c>
      <c r="DK210" s="15">
        <v>3.8600000000000002E-2</v>
      </c>
      <c r="DL210" s="15">
        <v>3.8594000000000003E-2</v>
      </c>
      <c r="DM210" s="16">
        <f>SUM(H210:DL210)</f>
        <v>0.99999999999999978</v>
      </c>
    </row>
    <row r="211" spans="1:117" x14ac:dyDescent="0.3">
      <c r="A211" s="17" t="s">
        <v>266</v>
      </c>
      <c r="B211" s="13" t="s">
        <v>267</v>
      </c>
      <c r="C211" s="13" t="s">
        <v>135</v>
      </c>
      <c r="D211" s="13">
        <v>45360.86</v>
      </c>
      <c r="E211" s="13">
        <f>31376.3139*B2</f>
        <v>31376.313900000001</v>
      </c>
      <c r="F211" s="13">
        <f>D211*E211</f>
        <v>1423256582.133954</v>
      </c>
      <c r="G211" s="14">
        <f>F211/A1</f>
        <v>1.824714963321148E-2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8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9"/>
    </row>
    <row r="212" spans="1:117" x14ac:dyDescent="0.3">
      <c r="A212" s="12"/>
      <c r="B212" s="13"/>
      <c r="C212" s="13"/>
      <c r="D212" s="13"/>
      <c r="E212" s="13"/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20">
        <f>+$D211*BF210</f>
        <v>873.60480273999997</v>
      </c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20">
        <f t="shared" ref="CM212:DL212" si="6">+$D211*CM210</f>
        <v>714.29746241999999</v>
      </c>
      <c r="CN212" s="20">
        <f t="shared" si="6"/>
        <v>1750.929196</v>
      </c>
      <c r="CO212" s="20">
        <f t="shared" si="6"/>
        <v>1750.929196</v>
      </c>
      <c r="CP212" s="20">
        <f t="shared" si="6"/>
        <v>1750.929196</v>
      </c>
      <c r="CQ212" s="20">
        <f t="shared" si="6"/>
        <v>1750.929196</v>
      </c>
      <c r="CR212" s="20">
        <f t="shared" si="6"/>
        <v>1750.929196</v>
      </c>
      <c r="CS212" s="20">
        <f t="shared" si="6"/>
        <v>1750.929196</v>
      </c>
      <c r="CT212" s="20">
        <f t="shared" si="6"/>
        <v>1750.929196</v>
      </c>
      <c r="CU212" s="20">
        <f t="shared" si="6"/>
        <v>1750.929196</v>
      </c>
      <c r="CV212" s="20">
        <f t="shared" si="6"/>
        <v>1750.929196</v>
      </c>
      <c r="CW212" s="20">
        <f t="shared" si="6"/>
        <v>1750.929196</v>
      </c>
      <c r="CX212" s="20">
        <f t="shared" si="6"/>
        <v>1750.929196</v>
      </c>
      <c r="CY212" s="20">
        <f t="shared" si="6"/>
        <v>1750.929196</v>
      </c>
      <c r="CZ212" s="20">
        <f t="shared" si="6"/>
        <v>1750.929196</v>
      </c>
      <c r="DA212" s="20">
        <f t="shared" si="6"/>
        <v>1750.929196</v>
      </c>
      <c r="DB212" s="20">
        <f t="shared" si="6"/>
        <v>1750.929196</v>
      </c>
      <c r="DC212" s="20">
        <f t="shared" si="6"/>
        <v>1750.929196</v>
      </c>
      <c r="DD212" s="20">
        <f t="shared" si="6"/>
        <v>1750.929196</v>
      </c>
      <c r="DE212" s="20">
        <f t="shared" si="6"/>
        <v>1750.929196</v>
      </c>
      <c r="DF212" s="20">
        <f t="shared" si="6"/>
        <v>1750.929196</v>
      </c>
      <c r="DG212" s="20">
        <f t="shared" si="6"/>
        <v>1750.929196</v>
      </c>
      <c r="DH212" s="20">
        <f t="shared" si="6"/>
        <v>1750.929196</v>
      </c>
      <c r="DI212" s="20">
        <f t="shared" si="6"/>
        <v>1750.929196</v>
      </c>
      <c r="DJ212" s="20">
        <f t="shared" si="6"/>
        <v>1750.929196</v>
      </c>
      <c r="DK212" s="20">
        <f t="shared" si="6"/>
        <v>1750.929196</v>
      </c>
      <c r="DL212" s="20">
        <f t="shared" si="6"/>
        <v>1750.6570308400001</v>
      </c>
      <c r="DM212" s="21">
        <f>SUM(H212:DL212)</f>
        <v>45360.859999999993</v>
      </c>
    </row>
    <row r="213" spans="1:117" x14ac:dyDescent="0.3">
      <c r="A213" s="12"/>
      <c r="B213" s="13"/>
      <c r="C213" s="13"/>
      <c r="D213" s="13"/>
      <c r="E213" s="13"/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5">
        <v>0.7</v>
      </c>
      <c r="CO213" s="15">
        <v>0.3</v>
      </c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6">
        <f>SUM(H213:DL213)</f>
        <v>1</v>
      </c>
    </row>
    <row r="214" spans="1:117" x14ac:dyDescent="0.3">
      <c r="A214" s="17" t="s">
        <v>268</v>
      </c>
      <c r="B214" s="13" t="s">
        <v>269</v>
      </c>
      <c r="C214" s="13" t="s">
        <v>135</v>
      </c>
      <c r="D214" s="13">
        <v>5024.82</v>
      </c>
      <c r="E214" s="13">
        <f>16486.2228*B2</f>
        <v>16486.2228</v>
      </c>
      <c r="F214" s="13">
        <f>D214*E214</f>
        <v>82840302.049895987</v>
      </c>
      <c r="G214" s="14">
        <f>F214/A1</f>
        <v>1.0620708916016235E-3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8"/>
      <c r="CO214" s="18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9"/>
    </row>
    <row r="215" spans="1:117" x14ac:dyDescent="0.3">
      <c r="A215" s="12"/>
      <c r="B215" s="13"/>
      <c r="C215" s="13"/>
      <c r="D215" s="13"/>
      <c r="E215" s="13"/>
      <c r="F215" s="13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20">
        <f>+$D214*CN213</f>
        <v>3517.3739999999998</v>
      </c>
      <c r="CO215" s="20">
        <f>+$D214*CO213</f>
        <v>1507.4459999999999</v>
      </c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21">
        <f>SUM(H215:DL215)</f>
        <v>5024.82</v>
      </c>
    </row>
    <row r="216" spans="1:117" x14ac:dyDescent="0.3">
      <c r="A216" s="12"/>
      <c r="B216" s="13"/>
      <c r="C216" s="13"/>
      <c r="D216" s="13"/>
      <c r="E216" s="13"/>
      <c r="F216" s="13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5">
        <v>0.4</v>
      </c>
      <c r="CO216" s="15">
        <v>0.6</v>
      </c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6">
        <f>SUM(H216:DL216)</f>
        <v>1</v>
      </c>
    </row>
    <row r="217" spans="1:117" x14ac:dyDescent="0.3">
      <c r="A217" s="17" t="s">
        <v>270</v>
      </c>
      <c r="B217" s="13" t="s">
        <v>271</v>
      </c>
      <c r="C217" s="13" t="s">
        <v>135</v>
      </c>
      <c r="D217" s="13">
        <v>2360.23</v>
      </c>
      <c r="E217" s="13">
        <f>26074.5098*B2</f>
        <v>26074.5098</v>
      </c>
      <c r="F217" s="13">
        <f>D217*E217</f>
        <v>61541840.265253998</v>
      </c>
      <c r="G217" s="14">
        <f>F217/A1</f>
        <v>7.8900964318013461E-4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8"/>
      <c r="CO217" s="18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9"/>
    </row>
    <row r="218" spans="1:117" x14ac:dyDescent="0.3">
      <c r="A218" s="12"/>
      <c r="B218" s="13"/>
      <c r="C218" s="13"/>
      <c r="D218" s="13"/>
      <c r="E218" s="13"/>
      <c r="F218" s="13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20">
        <f>+$D217*CN216</f>
        <v>944.0920000000001</v>
      </c>
      <c r="CO218" s="20">
        <f>+$D217*CO216</f>
        <v>1416.1379999999999</v>
      </c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21">
        <f>SUM(H218:DL218)</f>
        <v>2360.23</v>
      </c>
    </row>
    <row r="219" spans="1:117" x14ac:dyDescent="0.3">
      <c r="A219" s="12"/>
      <c r="B219" s="13"/>
      <c r="C219" s="13"/>
      <c r="D219" s="13"/>
      <c r="E219" s="13"/>
      <c r="F219" s="13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5">
        <v>0.59426500000000004</v>
      </c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5">
        <v>3.5839999999999999E-3</v>
      </c>
      <c r="CL219" s="15">
        <v>1.0751E-2</v>
      </c>
      <c r="CM219" s="15">
        <v>8.8240000000000002E-3</v>
      </c>
      <c r="CN219" s="15">
        <v>3.2933999999999998E-2</v>
      </c>
      <c r="CO219" s="15">
        <v>2.7996E-2</v>
      </c>
      <c r="CP219" s="15">
        <v>2.7026000000000001E-2</v>
      </c>
      <c r="CQ219" s="15">
        <v>1.3847999999999999E-2</v>
      </c>
      <c r="CR219" s="15">
        <v>1.2781000000000001E-2</v>
      </c>
      <c r="CS219" s="15">
        <v>1.5626000000000001E-2</v>
      </c>
      <c r="CT219" s="15">
        <v>1.2781000000000001E-2</v>
      </c>
      <c r="CU219" s="15">
        <v>1.2781000000000001E-2</v>
      </c>
      <c r="CV219" s="15">
        <v>1.6999E-2</v>
      </c>
      <c r="CW219" s="15">
        <v>1.3776E-2</v>
      </c>
      <c r="CX219" s="15">
        <v>2.3483E-2</v>
      </c>
      <c r="CY219" s="15">
        <v>1.2781000000000001E-2</v>
      </c>
      <c r="CZ219" s="15">
        <v>1.2781000000000001E-2</v>
      </c>
      <c r="DA219" s="15">
        <v>1.2781000000000001E-2</v>
      </c>
      <c r="DB219" s="15">
        <v>1.2781000000000001E-2</v>
      </c>
      <c r="DC219" s="15">
        <v>1.2781000000000001E-2</v>
      </c>
      <c r="DD219" s="15">
        <v>1.2781000000000001E-2</v>
      </c>
      <c r="DE219" s="15">
        <v>1.2781000000000001E-2</v>
      </c>
      <c r="DF219" s="15">
        <v>1.2781000000000001E-2</v>
      </c>
      <c r="DG219" s="15">
        <v>1.2781000000000001E-2</v>
      </c>
      <c r="DH219" s="15">
        <v>1.2781000000000001E-2</v>
      </c>
      <c r="DI219" s="15">
        <v>1.2781000000000001E-2</v>
      </c>
      <c r="DJ219" s="15">
        <v>1.2781000000000001E-2</v>
      </c>
      <c r="DK219" s="15">
        <v>1.2781000000000001E-2</v>
      </c>
      <c r="DL219" s="15">
        <v>6.3920000000000001E-3</v>
      </c>
      <c r="DM219" s="16">
        <f>SUM(H219:DL219)</f>
        <v>1.0000000000000009</v>
      </c>
    </row>
    <row r="220" spans="1:117" x14ac:dyDescent="0.3">
      <c r="A220" s="17" t="s">
        <v>272</v>
      </c>
      <c r="B220" s="13" t="s">
        <v>273</v>
      </c>
      <c r="C220" s="13" t="s">
        <v>274</v>
      </c>
      <c r="D220" s="13">
        <v>169478.6</v>
      </c>
      <c r="E220" s="13">
        <f>14771.916*B2</f>
        <v>14771.915999999999</v>
      </c>
      <c r="F220" s="13">
        <f>D220*E220</f>
        <v>2503523642.9976001</v>
      </c>
      <c r="G220" s="14">
        <f>F220/A1</f>
        <v>3.2096932554189592E-2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8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9"/>
    </row>
    <row r="221" spans="1:117" x14ac:dyDescent="0.3">
      <c r="A221" s="12"/>
      <c r="B221" s="13"/>
      <c r="C221" s="13"/>
      <c r="D221" s="13"/>
      <c r="E221" s="13"/>
      <c r="F221" s="13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20">
        <f>+$D220*BF219</f>
        <v>100715.20022900001</v>
      </c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20">
        <f t="shared" ref="CK221:DL221" si="7">+$D220*CK219</f>
        <v>607.41130240000007</v>
      </c>
      <c r="CL221" s="20">
        <f t="shared" si="7"/>
        <v>1822.0644286000002</v>
      </c>
      <c r="CM221" s="20">
        <f t="shared" si="7"/>
        <v>1495.4791664000002</v>
      </c>
      <c r="CN221" s="20">
        <f t="shared" si="7"/>
        <v>5581.6082123999995</v>
      </c>
      <c r="CO221" s="20">
        <f t="shared" si="7"/>
        <v>4744.7228856000002</v>
      </c>
      <c r="CP221" s="20">
        <f t="shared" si="7"/>
        <v>4580.3286436000008</v>
      </c>
      <c r="CQ221" s="20">
        <f t="shared" si="7"/>
        <v>2346.9396527999997</v>
      </c>
      <c r="CR221" s="20">
        <f t="shared" si="7"/>
        <v>2166.1059866000001</v>
      </c>
      <c r="CS221" s="20">
        <f t="shared" si="7"/>
        <v>2648.2726036000004</v>
      </c>
      <c r="CT221" s="20">
        <f t="shared" si="7"/>
        <v>2166.1059866000001</v>
      </c>
      <c r="CU221" s="20">
        <f t="shared" si="7"/>
        <v>2166.1059866000001</v>
      </c>
      <c r="CV221" s="20">
        <f t="shared" si="7"/>
        <v>2880.9667214000001</v>
      </c>
      <c r="CW221" s="20">
        <f t="shared" si="7"/>
        <v>2334.7371936</v>
      </c>
      <c r="CX221" s="20">
        <f t="shared" si="7"/>
        <v>3979.8659638000004</v>
      </c>
      <c r="CY221" s="20">
        <f t="shared" si="7"/>
        <v>2166.1059866000001</v>
      </c>
      <c r="CZ221" s="20">
        <f t="shared" si="7"/>
        <v>2166.1059866000001</v>
      </c>
      <c r="DA221" s="20">
        <f t="shared" si="7"/>
        <v>2166.1059866000001</v>
      </c>
      <c r="DB221" s="20">
        <f t="shared" si="7"/>
        <v>2166.1059866000001</v>
      </c>
      <c r="DC221" s="20">
        <f t="shared" si="7"/>
        <v>2166.1059866000001</v>
      </c>
      <c r="DD221" s="20">
        <f t="shared" si="7"/>
        <v>2166.1059866000001</v>
      </c>
      <c r="DE221" s="20">
        <f t="shared" si="7"/>
        <v>2166.1059866000001</v>
      </c>
      <c r="DF221" s="20">
        <f t="shared" si="7"/>
        <v>2166.1059866000001</v>
      </c>
      <c r="DG221" s="20">
        <f t="shared" si="7"/>
        <v>2166.1059866000001</v>
      </c>
      <c r="DH221" s="20">
        <f t="shared" si="7"/>
        <v>2166.1059866000001</v>
      </c>
      <c r="DI221" s="20">
        <f t="shared" si="7"/>
        <v>2166.1059866000001</v>
      </c>
      <c r="DJ221" s="20">
        <f t="shared" si="7"/>
        <v>2166.1059866000001</v>
      </c>
      <c r="DK221" s="20">
        <f t="shared" si="7"/>
        <v>2166.1059866000001</v>
      </c>
      <c r="DL221" s="20">
        <f t="shared" si="7"/>
        <v>1083.3072112</v>
      </c>
      <c r="DM221" s="21">
        <f>SUM(H221:DL221)</f>
        <v>169478.60000000018</v>
      </c>
    </row>
    <row r="222" spans="1:117" x14ac:dyDescent="0.3">
      <c r="A222" s="12"/>
      <c r="B222" s="13"/>
      <c r="C222" s="13"/>
      <c r="D222" s="13"/>
      <c r="E222" s="13"/>
      <c r="F222" s="13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5">
        <v>0.72421100000000005</v>
      </c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5">
        <v>1.2019999999999999E-3</v>
      </c>
      <c r="CN222" s="15">
        <v>7.731E-3</v>
      </c>
      <c r="CO222" s="15">
        <v>1.044E-3</v>
      </c>
      <c r="CP222" s="15">
        <v>5.5640000000000002E-2</v>
      </c>
      <c r="CQ222" s="15">
        <v>3.6958999999999999E-2</v>
      </c>
      <c r="CR222" s="15">
        <v>4.3014999999999998E-2</v>
      </c>
      <c r="CS222" s="15">
        <v>1.6563999999999999E-2</v>
      </c>
      <c r="CT222" s="15">
        <v>5.0299999999999997E-2</v>
      </c>
      <c r="CU222" s="15">
        <v>1.9904999999999999E-2</v>
      </c>
      <c r="CV222" s="15">
        <v>6.692E-3</v>
      </c>
      <c r="CW222" s="15">
        <v>1.9819E-2</v>
      </c>
      <c r="CX222" s="15">
        <v>3.375E-3</v>
      </c>
      <c r="CY222" s="15">
        <v>8.83E-4</v>
      </c>
      <c r="CZ222" s="15">
        <v>1.8959999999999999E-3</v>
      </c>
      <c r="DA222" s="15">
        <v>7.535E-3</v>
      </c>
      <c r="DB222" s="13"/>
      <c r="DC222" s="15">
        <v>3.2290000000000001E-3</v>
      </c>
      <c r="DD222" s="13"/>
      <c r="DE222" s="13"/>
      <c r="DF222" s="13"/>
      <c r="DG222" s="13"/>
      <c r="DH222" s="13"/>
      <c r="DI222" s="13"/>
      <c r="DJ222" s="13"/>
      <c r="DK222" s="13"/>
      <c r="DL222" s="13"/>
      <c r="DM222" s="16">
        <f>SUM(H222:DL222)</f>
        <v>1.0000000000000002</v>
      </c>
    </row>
    <row r="223" spans="1:117" x14ac:dyDescent="0.3">
      <c r="A223" s="17" t="s">
        <v>275</v>
      </c>
      <c r="B223" s="13" t="s">
        <v>276</v>
      </c>
      <c r="C223" s="13" t="s">
        <v>277</v>
      </c>
      <c r="D223" s="13">
        <v>29821.03</v>
      </c>
      <c r="E223" s="13">
        <f>28673.2*B2</f>
        <v>28673.200000000001</v>
      </c>
      <c r="F223" s="13">
        <f>D223*E223</f>
        <v>855064357.39600003</v>
      </c>
      <c r="G223" s="14">
        <f>F223/A1</f>
        <v>1.0962525992352767E-2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8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3"/>
      <c r="DC223" s="18"/>
      <c r="DD223" s="13"/>
      <c r="DE223" s="13"/>
      <c r="DF223" s="13"/>
      <c r="DG223" s="13"/>
      <c r="DH223" s="13"/>
      <c r="DI223" s="13"/>
      <c r="DJ223" s="13"/>
      <c r="DK223" s="13"/>
      <c r="DL223" s="13"/>
      <c r="DM223" s="19"/>
    </row>
    <row r="224" spans="1:117" x14ac:dyDescent="0.3">
      <c r="A224" s="12"/>
      <c r="B224" s="13"/>
      <c r="C224" s="13"/>
      <c r="D224" s="13"/>
      <c r="E224" s="13"/>
      <c r="F224" s="13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20">
        <f>+$D223*BF222</f>
        <v>21596.717957330002</v>
      </c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20">
        <f t="shared" ref="CM224:DA224" si="8">+$D223*CM222</f>
        <v>35.844878059999999</v>
      </c>
      <c r="CN224" s="20">
        <f t="shared" si="8"/>
        <v>230.54638292999999</v>
      </c>
      <c r="CO224" s="20">
        <f t="shared" si="8"/>
        <v>31.13315532</v>
      </c>
      <c r="CP224" s="20">
        <f t="shared" si="8"/>
        <v>1659.2421092</v>
      </c>
      <c r="CQ224" s="20">
        <f t="shared" si="8"/>
        <v>1102.1554477699999</v>
      </c>
      <c r="CR224" s="20">
        <f t="shared" si="8"/>
        <v>1282.7516054499999</v>
      </c>
      <c r="CS224" s="20">
        <f t="shared" si="8"/>
        <v>493.95554091999992</v>
      </c>
      <c r="CT224" s="20">
        <f t="shared" si="8"/>
        <v>1499.997809</v>
      </c>
      <c r="CU224" s="20">
        <f t="shared" si="8"/>
        <v>593.58760214999995</v>
      </c>
      <c r="CV224" s="20">
        <f t="shared" si="8"/>
        <v>199.56233276</v>
      </c>
      <c r="CW224" s="20">
        <f t="shared" si="8"/>
        <v>591.02299356999993</v>
      </c>
      <c r="CX224" s="20">
        <f t="shared" si="8"/>
        <v>100.64597624999999</v>
      </c>
      <c r="CY224" s="20">
        <f t="shared" si="8"/>
        <v>26.331969489999999</v>
      </c>
      <c r="CZ224" s="20">
        <f t="shared" si="8"/>
        <v>56.540672879999995</v>
      </c>
      <c r="DA224" s="20">
        <f t="shared" si="8"/>
        <v>224.70146105000001</v>
      </c>
      <c r="DB224" s="13"/>
      <c r="DC224" s="20">
        <f>+$D223*DC222</f>
        <v>96.29210587</v>
      </c>
      <c r="DD224" s="13"/>
      <c r="DE224" s="13"/>
      <c r="DF224" s="13"/>
      <c r="DG224" s="13"/>
      <c r="DH224" s="13"/>
      <c r="DI224" s="13"/>
      <c r="DJ224" s="13"/>
      <c r="DK224" s="13"/>
      <c r="DL224" s="13"/>
      <c r="DM224" s="21">
        <f>SUM(H224:DL224)</f>
        <v>29821.03000000001</v>
      </c>
    </row>
    <row r="225" spans="1:117" x14ac:dyDescent="0.3">
      <c r="A225" s="12"/>
      <c r="B225" s="13"/>
      <c r="C225" s="13"/>
      <c r="D225" s="13"/>
      <c r="E225" s="13"/>
      <c r="F225" s="13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5">
        <v>5.8333000000000003E-2</v>
      </c>
      <c r="CM225" s="13"/>
      <c r="CN225" s="15">
        <v>8.3333000000000004E-2</v>
      </c>
      <c r="CO225" s="15">
        <v>0.11666700000000001</v>
      </c>
      <c r="CP225" s="15">
        <v>2.5000000000000001E-2</v>
      </c>
      <c r="CQ225" s="15">
        <v>0.22500000000000001</v>
      </c>
      <c r="CR225" s="15">
        <v>5.8333000000000003E-2</v>
      </c>
      <c r="CS225" s="15">
        <v>0.30833300000000002</v>
      </c>
      <c r="CT225" s="15">
        <v>2.5000000000000001E-2</v>
      </c>
      <c r="CU225" s="15">
        <v>0.10000100000000001</v>
      </c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6">
        <f>SUM(H225:DL225)</f>
        <v>1</v>
      </c>
    </row>
    <row r="226" spans="1:117" x14ac:dyDescent="0.3">
      <c r="A226" s="17" t="s">
        <v>278</v>
      </c>
      <c r="B226" s="13" t="s">
        <v>279</v>
      </c>
      <c r="C226" s="13" t="s">
        <v>280</v>
      </c>
      <c r="D226" s="13">
        <v>12</v>
      </c>
      <c r="E226" s="13">
        <f>9459535.4976*B2</f>
        <v>9459535.4976000004</v>
      </c>
      <c r="F226" s="13">
        <f>D226*E226</f>
        <v>113514425.9712</v>
      </c>
      <c r="G226" s="14">
        <f>F226/A1</f>
        <v>1.4553347177351369E-3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8"/>
      <c r="CM226" s="13"/>
      <c r="CN226" s="18"/>
      <c r="CO226" s="18"/>
      <c r="CP226" s="18"/>
      <c r="CQ226" s="18"/>
      <c r="CR226" s="18"/>
      <c r="CS226" s="18"/>
      <c r="CT226" s="18"/>
      <c r="CU226" s="18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9"/>
    </row>
    <row r="227" spans="1:117" x14ac:dyDescent="0.3">
      <c r="A227" s="12"/>
      <c r="B227" s="13"/>
      <c r="C227" s="13"/>
      <c r="D227" s="13"/>
      <c r="E227" s="13"/>
      <c r="F227" s="13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20">
        <f>+$D226*CL225</f>
        <v>0.69999600000000006</v>
      </c>
      <c r="CM227" s="13"/>
      <c r="CN227" s="20">
        <f t="shared" ref="CN227:CU227" si="9">+$D226*CN225</f>
        <v>0.99999600000000011</v>
      </c>
      <c r="CO227" s="20">
        <f t="shared" si="9"/>
        <v>1.400004</v>
      </c>
      <c r="CP227" s="20">
        <f t="shared" si="9"/>
        <v>0.30000000000000004</v>
      </c>
      <c r="CQ227" s="20">
        <f t="shared" si="9"/>
        <v>2.7</v>
      </c>
      <c r="CR227" s="20">
        <f t="shared" si="9"/>
        <v>0.69999600000000006</v>
      </c>
      <c r="CS227" s="20">
        <f t="shared" si="9"/>
        <v>3.6999960000000005</v>
      </c>
      <c r="CT227" s="20">
        <f t="shared" si="9"/>
        <v>0.30000000000000004</v>
      </c>
      <c r="CU227" s="20">
        <f t="shared" si="9"/>
        <v>1.2000120000000001</v>
      </c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21">
        <f>SUM(H227:DL227)</f>
        <v>12</v>
      </c>
    </row>
    <row r="228" spans="1:117" x14ac:dyDescent="0.3">
      <c r="A228" s="12"/>
      <c r="B228" s="13"/>
      <c r="C228" s="13"/>
      <c r="D228" s="13"/>
      <c r="E228" s="13"/>
      <c r="F228" s="13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6">
        <f>SUM(H228:DL228)</f>
        <v>0</v>
      </c>
    </row>
    <row r="229" spans="1:117" x14ac:dyDescent="0.3">
      <c r="A229" s="17" t="s">
        <v>281</v>
      </c>
      <c r="B229" s="13" t="s">
        <v>282</v>
      </c>
      <c r="C229" s="13" t="s">
        <v>280</v>
      </c>
      <c r="D229" s="13">
        <v>0</v>
      </c>
      <c r="E229" s="13">
        <f>16705272.4072*B2</f>
        <v>16705272.407199999</v>
      </c>
      <c r="F229" s="13">
        <f>D229*E229</f>
        <v>0</v>
      </c>
      <c r="G229" s="14">
        <f>F229/A1</f>
        <v>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9"/>
    </row>
    <row r="230" spans="1:117" x14ac:dyDescent="0.3">
      <c r="A230" s="12"/>
      <c r="B230" s="13"/>
      <c r="C230" s="13"/>
      <c r="D230" s="13"/>
      <c r="E230" s="13"/>
      <c r="F230" s="13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21">
        <f>SUM(H230:DL230)</f>
        <v>0</v>
      </c>
    </row>
    <row r="231" spans="1:117" x14ac:dyDescent="0.3">
      <c r="A231" s="12"/>
      <c r="B231" s="13"/>
      <c r="C231" s="13"/>
      <c r="D231" s="13"/>
      <c r="E231" s="13"/>
      <c r="F231" s="13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5">
        <v>0.279277</v>
      </c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5">
        <v>1.6867E-2</v>
      </c>
      <c r="CM231" s="15">
        <v>3.3735000000000001E-2</v>
      </c>
      <c r="CN231" s="15">
        <v>1.5663E-2</v>
      </c>
      <c r="CO231" s="15">
        <v>0.18524099999999999</v>
      </c>
      <c r="CP231" s="15">
        <v>4.1565999999999999E-2</v>
      </c>
      <c r="CQ231" s="15">
        <v>0.10090399999999999</v>
      </c>
      <c r="CR231" s="15">
        <v>6.7470000000000002E-2</v>
      </c>
      <c r="CS231" s="15">
        <v>8.1928000000000001E-2</v>
      </c>
      <c r="CT231" s="15">
        <v>0.10209600000000001</v>
      </c>
      <c r="CU231" s="13"/>
      <c r="CV231" s="15">
        <v>7.5253E-2</v>
      </c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6">
        <f>SUM(H231:DL231)</f>
        <v>1</v>
      </c>
    </row>
    <row r="232" spans="1:117" x14ac:dyDescent="0.3">
      <c r="A232" s="17" t="s">
        <v>283</v>
      </c>
      <c r="B232" s="13" t="s">
        <v>284</v>
      </c>
      <c r="C232" s="13" t="s">
        <v>280</v>
      </c>
      <c r="D232" s="13">
        <v>83</v>
      </c>
      <c r="E232" s="13">
        <f>15933478.9418*B2</f>
        <v>15933478.9418</v>
      </c>
      <c r="F232" s="13">
        <f>D232*E232</f>
        <v>1322478752.1694</v>
      </c>
      <c r="G232" s="14">
        <f>F232/A1</f>
        <v>1.695510702743171E-2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8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8"/>
      <c r="CM232" s="18"/>
      <c r="CN232" s="18"/>
      <c r="CO232" s="18"/>
      <c r="CP232" s="18"/>
      <c r="CQ232" s="18"/>
      <c r="CR232" s="18"/>
      <c r="CS232" s="18"/>
      <c r="CT232" s="18"/>
      <c r="CU232" s="13"/>
      <c r="CV232" s="18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9"/>
    </row>
    <row r="233" spans="1:117" x14ac:dyDescent="0.3">
      <c r="A233" s="12"/>
      <c r="B233" s="13"/>
      <c r="C233" s="13"/>
      <c r="D233" s="13"/>
      <c r="E233" s="13"/>
      <c r="F233" s="13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20">
        <f>+$D232*BF231</f>
        <v>23.179991000000001</v>
      </c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20">
        <f t="shared" ref="CL233:CT233" si="10">+$D232*CL231</f>
        <v>1.399961</v>
      </c>
      <c r="CM233" s="20">
        <f t="shared" si="10"/>
        <v>2.8000050000000001</v>
      </c>
      <c r="CN233" s="20">
        <f t="shared" si="10"/>
        <v>1.3000289999999999</v>
      </c>
      <c r="CO233" s="20">
        <f t="shared" si="10"/>
        <v>15.375003</v>
      </c>
      <c r="CP233" s="20">
        <f t="shared" si="10"/>
        <v>3.4499779999999998</v>
      </c>
      <c r="CQ233" s="20">
        <f t="shared" si="10"/>
        <v>8.3750319999999991</v>
      </c>
      <c r="CR233" s="20">
        <f t="shared" si="10"/>
        <v>5.6000100000000002</v>
      </c>
      <c r="CS233" s="20">
        <f t="shared" si="10"/>
        <v>6.8000240000000005</v>
      </c>
      <c r="CT233" s="20">
        <f t="shared" si="10"/>
        <v>8.4739680000000011</v>
      </c>
      <c r="CU233" s="13"/>
      <c r="CV233" s="20">
        <f>+$D232*CV231</f>
        <v>6.2459990000000003</v>
      </c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21">
        <f>SUM(H233:DL233)</f>
        <v>83</v>
      </c>
    </row>
    <row r="234" spans="1:117" x14ac:dyDescent="0.3">
      <c r="A234" s="12"/>
      <c r="B234" s="13"/>
      <c r="C234" s="13"/>
      <c r="D234" s="13"/>
      <c r="E234" s="13"/>
      <c r="F234" s="13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5">
        <v>0.98924699999999999</v>
      </c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5">
        <v>1.0753E-2</v>
      </c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6">
        <f>SUM(H234:DL234)</f>
        <v>1</v>
      </c>
    </row>
    <row r="235" spans="1:117" x14ac:dyDescent="0.3">
      <c r="A235" s="17" t="s">
        <v>285</v>
      </c>
      <c r="B235" s="13" t="s">
        <v>286</v>
      </c>
      <c r="C235" s="13" t="s">
        <v>280</v>
      </c>
      <c r="D235" s="13">
        <v>93</v>
      </c>
      <c r="E235" s="13">
        <f>3663129.4303*B2</f>
        <v>3663129.4303000001</v>
      </c>
      <c r="F235" s="13">
        <f>D235*E235</f>
        <v>340671037.01789999</v>
      </c>
      <c r="G235" s="14">
        <f>F235/A1</f>
        <v>4.3676421147103364E-3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8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8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9"/>
    </row>
    <row r="236" spans="1:117" x14ac:dyDescent="0.3">
      <c r="A236" s="12"/>
      <c r="B236" s="13"/>
      <c r="C236" s="13"/>
      <c r="D236" s="13"/>
      <c r="E236" s="13"/>
      <c r="F236" s="13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20">
        <f>+$D235*BF234</f>
        <v>91.999971000000002</v>
      </c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20">
        <f>+$D235*CF234</f>
        <v>1.0000290000000001</v>
      </c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21">
        <f>SUM(H236:DL236)</f>
        <v>93</v>
      </c>
    </row>
    <row r="237" spans="1:117" x14ac:dyDescent="0.3">
      <c r="A237" s="12"/>
      <c r="B237" s="13"/>
      <c r="C237" s="13"/>
      <c r="D237" s="13"/>
      <c r="E237" s="13"/>
      <c r="F237" s="13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5">
        <v>0.74233499999999997</v>
      </c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5">
        <v>9.5510000000000005E-3</v>
      </c>
      <c r="CM237" s="15">
        <v>9.5510000000000005E-3</v>
      </c>
      <c r="CN237" s="15">
        <v>2.3448E-2</v>
      </c>
      <c r="CO237" s="15">
        <v>2.6800000000000001E-2</v>
      </c>
      <c r="CP237" s="15">
        <v>2.2342000000000001E-2</v>
      </c>
      <c r="CQ237" s="15">
        <v>1.6456999999999999E-2</v>
      </c>
      <c r="CR237" s="15">
        <v>1.0748000000000001E-2</v>
      </c>
      <c r="CS237" s="15">
        <v>7.443E-3</v>
      </c>
      <c r="CT237" s="15">
        <v>8.3820000000000006E-3</v>
      </c>
      <c r="CU237" s="15">
        <v>7.528E-3</v>
      </c>
      <c r="CV237" s="15">
        <v>7.528E-3</v>
      </c>
      <c r="CW237" s="15">
        <v>7.528E-3</v>
      </c>
      <c r="CX237" s="15">
        <v>6.2160000000000002E-3</v>
      </c>
      <c r="CY237" s="15">
        <v>6.2160000000000002E-3</v>
      </c>
      <c r="CZ237" s="15">
        <v>6.2160000000000002E-3</v>
      </c>
      <c r="DA237" s="15">
        <v>6.2160000000000002E-3</v>
      </c>
      <c r="DB237" s="15">
        <v>6.6670000000000002E-3</v>
      </c>
      <c r="DC237" s="15">
        <v>6.6670000000000002E-3</v>
      </c>
      <c r="DD237" s="15">
        <v>6.2160000000000002E-3</v>
      </c>
      <c r="DE237" s="15">
        <v>6.2160000000000002E-3</v>
      </c>
      <c r="DF237" s="15">
        <v>6.2160000000000002E-3</v>
      </c>
      <c r="DG237" s="15">
        <v>6.2160000000000002E-3</v>
      </c>
      <c r="DH237" s="15">
        <v>6.2160000000000002E-3</v>
      </c>
      <c r="DI237" s="15">
        <v>6.2160000000000002E-3</v>
      </c>
      <c r="DJ237" s="15">
        <v>6.2160000000000002E-3</v>
      </c>
      <c r="DK237" s="15">
        <v>6.2160000000000002E-3</v>
      </c>
      <c r="DL237" s="15">
        <v>1.2433E-2</v>
      </c>
      <c r="DM237" s="16">
        <f>SUM(H237:DL237)</f>
        <v>0.99999999999999989</v>
      </c>
    </row>
    <row r="238" spans="1:117" x14ac:dyDescent="0.3">
      <c r="A238" s="17" t="s">
        <v>287</v>
      </c>
      <c r="B238" s="13" t="s">
        <v>288</v>
      </c>
      <c r="C238" s="13" t="s">
        <v>126</v>
      </c>
      <c r="D238" s="13">
        <v>47643.6</v>
      </c>
      <c r="E238" s="13">
        <f>16434.2418*B2</f>
        <v>16434.2418</v>
      </c>
      <c r="F238" s="13">
        <f>D238*E238</f>
        <v>782986442.62247992</v>
      </c>
      <c r="G238" s="14">
        <f>F238/A1</f>
        <v>1.0038436469330628E-2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8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  <c r="DC238" s="18"/>
      <c r="DD238" s="18"/>
      <c r="DE238" s="18"/>
      <c r="DF238" s="18"/>
      <c r="DG238" s="18"/>
      <c r="DH238" s="18"/>
      <c r="DI238" s="18"/>
      <c r="DJ238" s="18"/>
      <c r="DK238" s="18"/>
      <c r="DL238" s="18"/>
      <c r="DM238" s="19"/>
    </row>
    <row r="239" spans="1:117" x14ac:dyDescent="0.3">
      <c r="A239" s="12"/>
      <c r="B239" s="13"/>
      <c r="C239" s="13"/>
      <c r="D239" s="13"/>
      <c r="E239" s="13"/>
      <c r="F239" s="13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20">
        <f>+$D238*BF237</f>
        <v>35367.511805999995</v>
      </c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20">
        <f t="shared" ref="CL239:DL239" si="11">+$D238*CL237</f>
        <v>455.0440236</v>
      </c>
      <c r="CM239" s="20">
        <f t="shared" si="11"/>
        <v>455.0440236</v>
      </c>
      <c r="CN239" s="20">
        <f t="shared" si="11"/>
        <v>1117.1471328</v>
      </c>
      <c r="CO239" s="20">
        <f t="shared" si="11"/>
        <v>1276.8484800000001</v>
      </c>
      <c r="CP239" s="20">
        <f t="shared" si="11"/>
        <v>1064.4533111999999</v>
      </c>
      <c r="CQ239" s="20">
        <f t="shared" si="11"/>
        <v>784.07072519999997</v>
      </c>
      <c r="CR239" s="20">
        <f t="shared" si="11"/>
        <v>512.07341280000003</v>
      </c>
      <c r="CS239" s="20">
        <f t="shared" si="11"/>
        <v>354.6113148</v>
      </c>
      <c r="CT239" s="20">
        <f t="shared" si="11"/>
        <v>399.3486552</v>
      </c>
      <c r="CU239" s="20">
        <f t="shared" si="11"/>
        <v>358.66102079999996</v>
      </c>
      <c r="CV239" s="20">
        <f t="shared" si="11"/>
        <v>358.66102079999996</v>
      </c>
      <c r="CW239" s="20">
        <f t="shared" si="11"/>
        <v>358.66102079999996</v>
      </c>
      <c r="CX239" s="20">
        <f t="shared" si="11"/>
        <v>296.15261759999999</v>
      </c>
      <c r="CY239" s="20">
        <f t="shared" si="11"/>
        <v>296.15261759999999</v>
      </c>
      <c r="CZ239" s="20">
        <f t="shared" si="11"/>
        <v>296.15261759999999</v>
      </c>
      <c r="DA239" s="20">
        <f t="shared" si="11"/>
        <v>296.15261759999999</v>
      </c>
      <c r="DB239" s="20">
        <f t="shared" si="11"/>
        <v>317.63988119999999</v>
      </c>
      <c r="DC239" s="20">
        <f t="shared" si="11"/>
        <v>317.63988119999999</v>
      </c>
      <c r="DD239" s="20">
        <f t="shared" si="11"/>
        <v>296.15261759999999</v>
      </c>
      <c r="DE239" s="20">
        <f t="shared" si="11"/>
        <v>296.15261759999999</v>
      </c>
      <c r="DF239" s="20">
        <f t="shared" si="11"/>
        <v>296.15261759999999</v>
      </c>
      <c r="DG239" s="20">
        <f t="shared" si="11"/>
        <v>296.15261759999999</v>
      </c>
      <c r="DH239" s="20">
        <f t="shared" si="11"/>
        <v>296.15261759999999</v>
      </c>
      <c r="DI239" s="20">
        <f t="shared" si="11"/>
        <v>296.15261759999999</v>
      </c>
      <c r="DJ239" s="20">
        <f t="shared" si="11"/>
        <v>296.15261759999999</v>
      </c>
      <c r="DK239" s="20">
        <f t="shared" si="11"/>
        <v>296.15261759999999</v>
      </c>
      <c r="DL239" s="20">
        <f t="shared" si="11"/>
        <v>592.35287879999998</v>
      </c>
      <c r="DM239" s="21">
        <f>SUM(H239:DL239)</f>
        <v>47643.59999999994</v>
      </c>
    </row>
    <row r="240" spans="1:117" x14ac:dyDescent="0.3">
      <c r="A240" s="8" t="s">
        <v>289</v>
      </c>
      <c r="B240" s="9" t="s">
        <v>290</v>
      </c>
      <c r="C240" s="9"/>
      <c r="D240" s="9"/>
      <c r="E240" s="9"/>
      <c r="F240" s="9"/>
      <c r="G240" s="1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11"/>
    </row>
    <row r="241" spans="1:117" x14ac:dyDescent="0.3">
      <c r="A241" s="12"/>
      <c r="B241" s="13"/>
      <c r="C241" s="13"/>
      <c r="D241" s="13"/>
      <c r="E241" s="13"/>
      <c r="F241" s="13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5">
        <v>1</v>
      </c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6">
        <f>SUM(H241:DL241)</f>
        <v>1</v>
      </c>
    </row>
    <row r="242" spans="1:117" x14ac:dyDescent="0.3">
      <c r="A242" s="17" t="s">
        <v>291</v>
      </c>
      <c r="B242" s="13" t="s">
        <v>292</v>
      </c>
      <c r="C242" s="13" t="s">
        <v>280</v>
      </c>
      <c r="D242" s="13">
        <v>1</v>
      </c>
      <c r="E242" s="13">
        <f>2057607.7321*B2</f>
        <v>2057607.7320999999</v>
      </c>
      <c r="F242" s="13">
        <f>D242*E242</f>
        <v>2057607.7320999999</v>
      </c>
      <c r="G242" s="14">
        <f>F242/A1</f>
        <v>2.6379977191314275E-5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8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9"/>
    </row>
    <row r="243" spans="1:117" x14ac:dyDescent="0.3">
      <c r="A243" s="12"/>
      <c r="B243" s="13"/>
      <c r="C243" s="13"/>
      <c r="D243" s="13"/>
      <c r="E243" s="13"/>
      <c r="F243" s="13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20">
        <f>+$D242*CX241</f>
        <v>1</v>
      </c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21">
        <f>SUM(H243:DL243)</f>
        <v>1</v>
      </c>
    </row>
    <row r="244" spans="1:117" x14ac:dyDescent="0.3">
      <c r="A244" s="12"/>
      <c r="B244" s="13"/>
      <c r="C244" s="13"/>
      <c r="D244" s="13"/>
      <c r="E244" s="13"/>
      <c r="F244" s="13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5">
        <v>4.3749999999999997E-2</v>
      </c>
      <c r="CM244" s="15">
        <v>4.3749999999999997E-2</v>
      </c>
      <c r="CN244" s="13"/>
      <c r="CO244" s="15">
        <v>1.8749999999999999E-2</v>
      </c>
      <c r="CP244" s="15">
        <v>0.15</v>
      </c>
      <c r="CQ244" s="15">
        <v>4.3749999999999997E-2</v>
      </c>
      <c r="CR244" s="15">
        <v>0.1</v>
      </c>
      <c r="CS244" s="15">
        <v>8.7499999999999994E-2</v>
      </c>
      <c r="CT244" s="15">
        <v>3.7499999999999999E-2</v>
      </c>
      <c r="CU244" s="15">
        <v>0.16875000000000001</v>
      </c>
      <c r="CV244" s="15">
        <v>8.7499999999999994E-2</v>
      </c>
      <c r="CW244" s="15">
        <v>6.25E-2</v>
      </c>
      <c r="CX244" s="15">
        <v>3.7499999999999999E-2</v>
      </c>
      <c r="CY244" s="15">
        <v>5.6250000000000001E-2</v>
      </c>
      <c r="CZ244" s="15">
        <v>4.3749999999999997E-2</v>
      </c>
      <c r="DA244" s="13"/>
      <c r="DB244" s="15">
        <v>1.8749999999999999E-2</v>
      </c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6">
        <f>SUM(H244:DL244)</f>
        <v>1</v>
      </c>
    </row>
    <row r="245" spans="1:117" x14ac:dyDescent="0.3">
      <c r="A245" s="17" t="s">
        <v>293</v>
      </c>
      <c r="B245" s="13" t="s">
        <v>294</v>
      </c>
      <c r="C245" s="13" t="s">
        <v>280</v>
      </c>
      <c r="D245" s="13">
        <v>16</v>
      </c>
      <c r="E245" s="13">
        <f>27292303.6681*B2</f>
        <v>27292303.668099999</v>
      </c>
      <c r="F245" s="13">
        <f>D245*E245</f>
        <v>436676858.68959999</v>
      </c>
      <c r="G245" s="14">
        <f>F245/A1</f>
        <v>5.5985042204568097E-3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8"/>
      <c r="CM245" s="18"/>
      <c r="CN245" s="13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3"/>
      <c r="DB245" s="18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9"/>
    </row>
    <row r="246" spans="1:117" x14ac:dyDescent="0.3">
      <c r="A246" s="12"/>
      <c r="B246" s="13"/>
      <c r="C246" s="13"/>
      <c r="D246" s="13"/>
      <c r="E246" s="13"/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20">
        <f>+$D245*CL244</f>
        <v>0.7</v>
      </c>
      <c r="CM246" s="20">
        <f>+$D245*CM244</f>
        <v>0.7</v>
      </c>
      <c r="CN246" s="13"/>
      <c r="CO246" s="20">
        <f t="shared" ref="CO246:CZ246" si="12">+$D245*CO244</f>
        <v>0.3</v>
      </c>
      <c r="CP246" s="20">
        <f t="shared" si="12"/>
        <v>2.4</v>
      </c>
      <c r="CQ246" s="20">
        <f t="shared" si="12"/>
        <v>0.7</v>
      </c>
      <c r="CR246" s="20">
        <f t="shared" si="12"/>
        <v>1.6</v>
      </c>
      <c r="CS246" s="20">
        <f t="shared" si="12"/>
        <v>1.4</v>
      </c>
      <c r="CT246" s="20">
        <f t="shared" si="12"/>
        <v>0.6</v>
      </c>
      <c r="CU246" s="20">
        <f t="shared" si="12"/>
        <v>2.7</v>
      </c>
      <c r="CV246" s="20">
        <f t="shared" si="12"/>
        <v>1.4</v>
      </c>
      <c r="CW246" s="20">
        <f t="shared" si="12"/>
        <v>1</v>
      </c>
      <c r="CX246" s="20">
        <f t="shared" si="12"/>
        <v>0.6</v>
      </c>
      <c r="CY246" s="20">
        <f t="shared" si="12"/>
        <v>0.9</v>
      </c>
      <c r="CZ246" s="20">
        <f t="shared" si="12"/>
        <v>0.7</v>
      </c>
      <c r="DA246" s="13"/>
      <c r="DB246" s="20">
        <f>+$D245*DB244</f>
        <v>0.3</v>
      </c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21">
        <f>SUM(H246:DL246)</f>
        <v>16</v>
      </c>
    </row>
    <row r="247" spans="1:117" x14ac:dyDescent="0.3">
      <c r="A247" s="12"/>
      <c r="B247" s="13"/>
      <c r="C247" s="13"/>
      <c r="D247" s="13"/>
      <c r="E247" s="13"/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5">
        <v>0.88768599999999998</v>
      </c>
      <c r="BG247" s="13"/>
      <c r="BH247" s="13"/>
      <c r="BI247" s="13"/>
      <c r="BJ247" s="13"/>
      <c r="BK247" s="15">
        <v>4.6200000000000001E-4</v>
      </c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5">
        <v>1.5398999999999999E-2</v>
      </c>
      <c r="CL247" s="15">
        <v>1.5403E-2</v>
      </c>
      <c r="CM247" s="15">
        <v>1.7824E-2</v>
      </c>
      <c r="CN247" s="15">
        <v>2.7421999999999998E-2</v>
      </c>
      <c r="CO247" s="15">
        <v>2.317E-3</v>
      </c>
      <c r="CP247" s="15">
        <v>2.317E-3</v>
      </c>
      <c r="CQ247" s="15">
        <v>1.877E-3</v>
      </c>
      <c r="CR247" s="15">
        <v>2.2560000000000002E-3</v>
      </c>
      <c r="CS247" s="15">
        <v>3.9060000000000002E-3</v>
      </c>
      <c r="CT247" s="15">
        <v>2.552E-3</v>
      </c>
      <c r="CU247" s="15">
        <v>2.552E-3</v>
      </c>
      <c r="CV247" s="15">
        <v>2.552E-3</v>
      </c>
      <c r="CW247" s="15">
        <v>9.0200000000000002E-4</v>
      </c>
      <c r="CX247" s="15">
        <v>1.877E-3</v>
      </c>
      <c r="CY247" s="15">
        <v>1.877E-3</v>
      </c>
      <c r="CZ247" s="15">
        <v>9.0200000000000002E-4</v>
      </c>
      <c r="DA247" s="15">
        <v>9.0200000000000002E-4</v>
      </c>
      <c r="DB247" s="15">
        <v>9.0200000000000002E-4</v>
      </c>
      <c r="DC247" s="15">
        <v>9.0200000000000002E-4</v>
      </c>
      <c r="DD247" s="15">
        <v>9.0200000000000002E-4</v>
      </c>
      <c r="DE247" s="15">
        <v>9.0200000000000002E-4</v>
      </c>
      <c r="DF247" s="15">
        <v>9.0200000000000002E-4</v>
      </c>
      <c r="DG247" s="15">
        <v>9.0200000000000002E-4</v>
      </c>
      <c r="DH247" s="15">
        <v>9.0200000000000002E-4</v>
      </c>
      <c r="DI247" s="15">
        <v>9.0200000000000002E-4</v>
      </c>
      <c r="DJ247" s="15">
        <v>9.0200000000000002E-4</v>
      </c>
      <c r="DK247" s="15">
        <v>9.0200000000000002E-4</v>
      </c>
      <c r="DL247" s="13"/>
      <c r="DM247" s="16">
        <f>SUM(H247:DL247)</f>
        <v>1.0000049999999994</v>
      </c>
    </row>
    <row r="248" spans="1:117" x14ac:dyDescent="0.3">
      <c r="A248" s="17" t="s">
        <v>295</v>
      </c>
      <c r="B248" s="13" t="s">
        <v>296</v>
      </c>
      <c r="C248" s="13" t="s">
        <v>126</v>
      </c>
      <c r="D248" s="13">
        <v>29547.33</v>
      </c>
      <c r="E248" s="13">
        <f>3667.1953*B2</f>
        <v>3667.1952999999999</v>
      </c>
      <c r="F248" s="13">
        <f>D248*E248</f>
        <v>108355829.703549</v>
      </c>
      <c r="G248" s="14">
        <f>F248/A1</f>
        <v>1.389197888174847E-3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8"/>
      <c r="BG248" s="13"/>
      <c r="BH248" s="13"/>
      <c r="BI248" s="13"/>
      <c r="BJ248" s="13"/>
      <c r="BK248" s="18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  <c r="DC248" s="18"/>
      <c r="DD248" s="18"/>
      <c r="DE248" s="18"/>
      <c r="DF248" s="18"/>
      <c r="DG248" s="18"/>
      <c r="DH248" s="18"/>
      <c r="DI248" s="18"/>
      <c r="DJ248" s="18"/>
      <c r="DK248" s="18"/>
      <c r="DL248" s="13"/>
      <c r="DM248" s="19"/>
    </row>
    <row r="249" spans="1:117" x14ac:dyDescent="0.3">
      <c r="A249" s="12"/>
      <c r="B249" s="13"/>
      <c r="C249" s="13"/>
      <c r="D249" s="13"/>
      <c r="E249" s="13"/>
      <c r="F249" s="13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20">
        <f>+$D248*BF247</f>
        <v>26228.75117838</v>
      </c>
      <c r="BG249" s="13"/>
      <c r="BH249" s="13"/>
      <c r="BI249" s="13"/>
      <c r="BJ249" s="13"/>
      <c r="BK249" s="20">
        <f>+$D248*BK247</f>
        <v>13.650866460000001</v>
      </c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20">
        <f t="shared" ref="CK249:DK249" si="13">+$D248*CK247</f>
        <v>454.99933467</v>
      </c>
      <c r="CL249" s="20">
        <f t="shared" si="13"/>
        <v>455.11752399000005</v>
      </c>
      <c r="CM249" s="20">
        <f t="shared" si="13"/>
        <v>526.65160992000006</v>
      </c>
      <c r="CN249" s="20">
        <f t="shared" si="13"/>
        <v>810.24688326</v>
      </c>
      <c r="CO249" s="20">
        <f t="shared" si="13"/>
        <v>68.46116361</v>
      </c>
      <c r="CP249" s="20">
        <f t="shared" si="13"/>
        <v>68.46116361</v>
      </c>
      <c r="CQ249" s="20">
        <f t="shared" si="13"/>
        <v>55.460338410000006</v>
      </c>
      <c r="CR249" s="20">
        <f t="shared" si="13"/>
        <v>66.658776480000014</v>
      </c>
      <c r="CS249" s="20">
        <f t="shared" si="13"/>
        <v>115.41187098000002</v>
      </c>
      <c r="CT249" s="20">
        <f t="shared" si="13"/>
        <v>75.40478616</v>
      </c>
      <c r="CU249" s="20">
        <f t="shared" si="13"/>
        <v>75.40478616</v>
      </c>
      <c r="CV249" s="20">
        <f t="shared" si="13"/>
        <v>75.40478616</v>
      </c>
      <c r="CW249" s="20">
        <f t="shared" si="13"/>
        <v>26.651691660000001</v>
      </c>
      <c r="CX249" s="20">
        <f t="shared" si="13"/>
        <v>55.460338410000006</v>
      </c>
      <c r="CY249" s="20">
        <f t="shared" si="13"/>
        <v>55.460338410000006</v>
      </c>
      <c r="CZ249" s="20">
        <f t="shared" si="13"/>
        <v>26.651691660000001</v>
      </c>
      <c r="DA249" s="20">
        <f t="shared" si="13"/>
        <v>26.651691660000001</v>
      </c>
      <c r="DB249" s="20">
        <f t="shared" si="13"/>
        <v>26.651691660000001</v>
      </c>
      <c r="DC249" s="20">
        <f t="shared" si="13"/>
        <v>26.651691660000001</v>
      </c>
      <c r="DD249" s="20">
        <f t="shared" si="13"/>
        <v>26.651691660000001</v>
      </c>
      <c r="DE249" s="20">
        <f t="shared" si="13"/>
        <v>26.651691660000001</v>
      </c>
      <c r="DF249" s="20">
        <f t="shared" si="13"/>
        <v>26.651691660000001</v>
      </c>
      <c r="DG249" s="20">
        <f t="shared" si="13"/>
        <v>26.651691660000001</v>
      </c>
      <c r="DH249" s="20">
        <f t="shared" si="13"/>
        <v>26.651691660000001</v>
      </c>
      <c r="DI249" s="20">
        <f t="shared" si="13"/>
        <v>26.651691660000001</v>
      </c>
      <c r="DJ249" s="20">
        <f t="shared" si="13"/>
        <v>26.651691660000001</v>
      </c>
      <c r="DK249" s="20">
        <f t="shared" si="13"/>
        <v>26.651691660000001</v>
      </c>
      <c r="DL249" s="13"/>
      <c r="DM249" s="21">
        <f>SUM(H249:DL249)</f>
        <v>29547.477736650024</v>
      </c>
    </row>
    <row r="250" spans="1:117" x14ac:dyDescent="0.3">
      <c r="A250" s="12"/>
      <c r="B250" s="13"/>
      <c r="C250" s="13"/>
      <c r="D250" s="13"/>
      <c r="E250" s="13"/>
      <c r="F250" s="13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5">
        <v>0.94974700000000001</v>
      </c>
      <c r="BG250" s="13"/>
      <c r="BH250" s="15">
        <v>2.5127E-2</v>
      </c>
      <c r="BI250" s="15">
        <v>2.5127E-2</v>
      </c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6">
        <f>SUM(H250:DL250)</f>
        <v>1.0000009999999999</v>
      </c>
    </row>
    <row r="251" spans="1:117" x14ac:dyDescent="0.3">
      <c r="A251" s="17" t="s">
        <v>297</v>
      </c>
      <c r="B251" s="13" t="s">
        <v>298</v>
      </c>
      <c r="C251" s="13" t="s">
        <v>126</v>
      </c>
      <c r="D251" s="13">
        <v>191.43</v>
      </c>
      <c r="E251" s="13">
        <f>763716.2346*B2</f>
        <v>763716.23459999997</v>
      </c>
      <c r="F251" s="13">
        <f>D251*E251</f>
        <v>146198198.789478</v>
      </c>
      <c r="G251" s="14">
        <f>F251/A1</f>
        <v>1.8743636550886675E-3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8"/>
      <c r="BG251" s="13"/>
      <c r="BH251" s="18"/>
      <c r="BI251" s="18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9"/>
    </row>
    <row r="252" spans="1:117" x14ac:dyDescent="0.3">
      <c r="A252" s="12"/>
      <c r="B252" s="13"/>
      <c r="C252" s="13"/>
      <c r="D252" s="13"/>
      <c r="E252" s="13"/>
      <c r="F252" s="13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20">
        <f>+$D251*BF250</f>
        <v>181.81006821</v>
      </c>
      <c r="BG252" s="13"/>
      <c r="BH252" s="20">
        <f>+$D251*BH250</f>
        <v>4.81006161</v>
      </c>
      <c r="BI252" s="20">
        <f>+$D251*BI250</f>
        <v>4.81006161</v>
      </c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21">
        <f>SUM(H252:DL252)</f>
        <v>191.43019142999998</v>
      </c>
    </row>
    <row r="253" spans="1:117" x14ac:dyDescent="0.3">
      <c r="A253" s="12"/>
      <c r="B253" s="13"/>
      <c r="C253" s="13"/>
      <c r="D253" s="13"/>
      <c r="E253" s="13"/>
      <c r="F253" s="13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5">
        <v>1</v>
      </c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6">
        <f>SUM(H253:DL253)</f>
        <v>1</v>
      </c>
    </row>
    <row r="254" spans="1:117" x14ac:dyDescent="0.3">
      <c r="A254" s="17" t="s">
        <v>299</v>
      </c>
      <c r="B254" s="13" t="s">
        <v>300</v>
      </c>
      <c r="C254" s="13" t="s">
        <v>126</v>
      </c>
      <c r="D254" s="13">
        <v>24</v>
      </c>
      <c r="E254" s="13">
        <f>979023.1616*B2</f>
        <v>979023.16159999999</v>
      </c>
      <c r="F254" s="13">
        <f>D254*E254</f>
        <v>23496555.878399998</v>
      </c>
      <c r="G254" s="14">
        <f>F254/A1</f>
        <v>3.0124235950164532E-4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8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9"/>
    </row>
    <row r="255" spans="1:117" x14ac:dyDescent="0.3">
      <c r="A255" s="12"/>
      <c r="B255" s="13"/>
      <c r="C255" s="13"/>
      <c r="D255" s="13"/>
      <c r="E255" s="13"/>
      <c r="F255" s="13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20">
        <f>+$D254*BH253</f>
        <v>24</v>
      </c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21">
        <f>SUM(H255:DL255)</f>
        <v>24</v>
      </c>
    </row>
    <row r="256" spans="1:117" x14ac:dyDescent="0.3">
      <c r="A256" s="12"/>
      <c r="B256" s="13"/>
      <c r="C256" s="13"/>
      <c r="D256" s="13"/>
      <c r="E256" s="13"/>
      <c r="F256" s="13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5">
        <v>1</v>
      </c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6">
        <f>SUM(H256:DL256)</f>
        <v>1</v>
      </c>
    </row>
    <row r="257" spans="1:117" x14ac:dyDescent="0.3">
      <c r="A257" s="17" t="s">
        <v>301</v>
      </c>
      <c r="B257" s="13" t="s">
        <v>302</v>
      </c>
      <c r="C257" s="13" t="s">
        <v>126</v>
      </c>
      <c r="D257" s="13">
        <v>26</v>
      </c>
      <c r="E257" s="13">
        <f>965321.0748*B2</f>
        <v>965321.07479999994</v>
      </c>
      <c r="F257" s="13">
        <f>D257*E257</f>
        <v>25098347.944799997</v>
      </c>
      <c r="G257" s="14">
        <f>F257/A1</f>
        <v>3.2177845951607048E-4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8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9"/>
    </row>
    <row r="258" spans="1:117" x14ac:dyDescent="0.3">
      <c r="A258" s="12"/>
      <c r="B258" s="13"/>
      <c r="C258" s="13"/>
      <c r="D258" s="13"/>
      <c r="E258" s="13"/>
      <c r="F258" s="13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20">
        <f>+$D257*BF256</f>
        <v>26</v>
      </c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21">
        <f>SUM(H258:DL258)</f>
        <v>26</v>
      </c>
    </row>
    <row r="259" spans="1:117" x14ac:dyDescent="0.3">
      <c r="A259" s="12"/>
      <c r="B259" s="13"/>
      <c r="C259" s="13"/>
      <c r="D259" s="13"/>
      <c r="E259" s="13"/>
      <c r="F259" s="13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5">
        <v>1</v>
      </c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6">
        <f>SUM(H259:DL259)</f>
        <v>1</v>
      </c>
    </row>
    <row r="260" spans="1:117" x14ac:dyDescent="0.3">
      <c r="A260" s="17" t="s">
        <v>303</v>
      </c>
      <c r="B260" s="13" t="s">
        <v>304</v>
      </c>
      <c r="C260" s="13" t="s">
        <v>280</v>
      </c>
      <c r="D260" s="13">
        <v>4</v>
      </c>
      <c r="E260" s="13">
        <f>4078523.575*B2</f>
        <v>4078523.5750000002</v>
      </c>
      <c r="F260" s="13">
        <f>D260*E260</f>
        <v>16314094.300000001</v>
      </c>
      <c r="G260" s="14">
        <f>F260/A1</f>
        <v>2.0915815430559164E-4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8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9"/>
    </row>
    <row r="261" spans="1:117" x14ac:dyDescent="0.3">
      <c r="A261" s="12"/>
      <c r="B261" s="13"/>
      <c r="C261" s="13"/>
      <c r="D261" s="13"/>
      <c r="E261" s="13"/>
      <c r="F261" s="13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20">
        <f>+$D260*BF259</f>
        <v>4</v>
      </c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21">
        <f>SUM(H261:DL261)</f>
        <v>4</v>
      </c>
    </row>
    <row r="262" spans="1:117" x14ac:dyDescent="0.3">
      <c r="A262" s="12"/>
      <c r="B262" s="13"/>
      <c r="C262" s="13"/>
      <c r="D262" s="13"/>
      <c r="E262" s="13"/>
      <c r="F262" s="13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5">
        <v>1</v>
      </c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6">
        <f>SUM(H262:DL262)</f>
        <v>1</v>
      </c>
    </row>
    <row r="263" spans="1:117" x14ac:dyDescent="0.3">
      <c r="A263" s="17" t="s">
        <v>305</v>
      </c>
      <c r="B263" s="13" t="s">
        <v>306</v>
      </c>
      <c r="C263" s="13" t="s">
        <v>280</v>
      </c>
      <c r="D263" s="13">
        <v>1</v>
      </c>
      <c r="E263" s="13">
        <f>4885497.0996*B2</f>
        <v>4885497.0996000003</v>
      </c>
      <c r="F263" s="13">
        <f>D263*E263</f>
        <v>4885497.0996000003</v>
      </c>
      <c r="G263" s="14">
        <f>F263/A1</f>
        <v>6.2635506294557656E-5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8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9"/>
    </row>
    <row r="264" spans="1:117" x14ac:dyDescent="0.3">
      <c r="A264" s="12"/>
      <c r="B264" s="13"/>
      <c r="C264" s="13"/>
      <c r="D264" s="13"/>
      <c r="E264" s="13"/>
      <c r="F264" s="13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20">
        <f>+$D263*BF262</f>
        <v>1</v>
      </c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21">
        <f>SUM(H264:DL264)</f>
        <v>1</v>
      </c>
    </row>
    <row r="265" spans="1:117" x14ac:dyDescent="0.3">
      <c r="A265" s="12"/>
      <c r="B265" s="13"/>
      <c r="C265" s="13"/>
      <c r="D265" s="13"/>
      <c r="E265" s="13"/>
      <c r="F265" s="13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5">
        <v>0.5</v>
      </c>
      <c r="CT265" s="15">
        <v>0.5</v>
      </c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6">
        <f>SUM(H265:DL265)</f>
        <v>1</v>
      </c>
    </row>
    <row r="266" spans="1:117" x14ac:dyDescent="0.3">
      <c r="A266" s="17" t="s">
        <v>307</v>
      </c>
      <c r="B266" s="13" t="s">
        <v>308</v>
      </c>
      <c r="C266" s="13" t="s">
        <v>280</v>
      </c>
      <c r="D266" s="13">
        <v>1</v>
      </c>
      <c r="E266" s="13">
        <f>113760390.3853*B2</f>
        <v>113760390.3853</v>
      </c>
      <c r="F266" s="13">
        <f>D266*E266</f>
        <v>113760390.3853</v>
      </c>
      <c r="G266" s="14">
        <f>F266/A1</f>
        <v>1.4584881543851882E-3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8"/>
      <c r="CT266" s="18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9"/>
    </row>
    <row r="267" spans="1:117" x14ac:dyDescent="0.3">
      <c r="A267" s="12"/>
      <c r="B267" s="13"/>
      <c r="C267" s="13"/>
      <c r="D267" s="13"/>
      <c r="E267" s="13"/>
      <c r="F267" s="13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20">
        <f>+$D266*CS265</f>
        <v>0.5</v>
      </c>
      <c r="CT267" s="20">
        <f>+$D266*CT265</f>
        <v>0.5</v>
      </c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21">
        <f>SUM(H267:DL267)</f>
        <v>1</v>
      </c>
    </row>
    <row r="268" spans="1:117" x14ac:dyDescent="0.3">
      <c r="A268" s="12"/>
      <c r="B268" s="13"/>
      <c r="C268" s="13"/>
      <c r="D268" s="13"/>
      <c r="E268" s="13"/>
      <c r="F268" s="13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5">
        <v>1</v>
      </c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6">
        <f>SUM(H268:DL268)</f>
        <v>1</v>
      </c>
    </row>
    <row r="269" spans="1:117" x14ac:dyDescent="0.3">
      <c r="A269" s="17" t="s">
        <v>309</v>
      </c>
      <c r="B269" s="13" t="s">
        <v>310</v>
      </c>
      <c r="C269" s="13" t="s">
        <v>280</v>
      </c>
      <c r="D269" s="13">
        <v>1</v>
      </c>
      <c r="E269" s="13">
        <f>137149382.2007*B2</f>
        <v>137149382.20070001</v>
      </c>
      <c r="F269" s="13">
        <f>D269*E269</f>
        <v>137149382.20070001</v>
      </c>
      <c r="G269" s="14">
        <f>F269/A1</f>
        <v>1.7583514670042439E-3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8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9"/>
    </row>
    <row r="270" spans="1:117" x14ac:dyDescent="0.3">
      <c r="A270" s="12"/>
      <c r="B270" s="13"/>
      <c r="C270" s="13"/>
      <c r="D270" s="13"/>
      <c r="E270" s="13"/>
      <c r="F270" s="13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20">
        <f>+$D269*CS268</f>
        <v>1</v>
      </c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21">
        <f>SUM(H270:DL270)</f>
        <v>1</v>
      </c>
    </row>
    <row r="271" spans="1:117" x14ac:dyDescent="0.3">
      <c r="A271" s="12"/>
      <c r="B271" s="13"/>
      <c r="C271" s="13"/>
      <c r="D271" s="13"/>
      <c r="E271" s="13"/>
      <c r="F271" s="13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5">
        <v>0.25</v>
      </c>
      <c r="CP271" s="15">
        <v>0.25</v>
      </c>
      <c r="CQ271" s="15">
        <v>0.25</v>
      </c>
      <c r="CR271" s="15">
        <v>0.25</v>
      </c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6">
        <f>SUM(H271:DL271)</f>
        <v>1</v>
      </c>
    </row>
    <row r="272" spans="1:117" x14ac:dyDescent="0.3">
      <c r="A272" s="17" t="s">
        <v>311</v>
      </c>
      <c r="B272" s="13" t="s">
        <v>312</v>
      </c>
      <c r="C272" s="13" t="s">
        <v>280</v>
      </c>
      <c r="D272" s="13">
        <v>16</v>
      </c>
      <c r="E272" s="13">
        <f>2350485.4254*B2</f>
        <v>2350485.4254000001</v>
      </c>
      <c r="F272" s="13">
        <f>D272*E272</f>
        <v>37607766.806400001</v>
      </c>
      <c r="G272" s="14">
        <f>F272/A1</f>
        <v>4.8215800081416216E-4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8"/>
      <c r="CP272" s="18"/>
      <c r="CQ272" s="18"/>
      <c r="CR272" s="18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9"/>
    </row>
    <row r="273" spans="1:117" x14ac:dyDescent="0.3">
      <c r="A273" s="12"/>
      <c r="B273" s="13"/>
      <c r="C273" s="13"/>
      <c r="D273" s="13"/>
      <c r="E273" s="13"/>
      <c r="F273" s="13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20">
        <f>+$D272*CO271</f>
        <v>4</v>
      </c>
      <c r="CP273" s="20">
        <f>+$D272*CP271</f>
        <v>4</v>
      </c>
      <c r="CQ273" s="20">
        <f>+$D272*CQ271</f>
        <v>4</v>
      </c>
      <c r="CR273" s="20">
        <f>+$D272*CR271</f>
        <v>4</v>
      </c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21">
        <f>SUM(H273:DL273)</f>
        <v>16</v>
      </c>
    </row>
    <row r="274" spans="1:117" x14ac:dyDescent="0.3">
      <c r="A274" s="8" t="s">
        <v>313</v>
      </c>
      <c r="B274" s="9" t="s">
        <v>314</v>
      </c>
      <c r="C274" s="9"/>
      <c r="D274" s="9"/>
      <c r="E274" s="9"/>
      <c r="F274" s="9"/>
      <c r="G274" s="1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11"/>
    </row>
    <row r="275" spans="1:117" x14ac:dyDescent="0.3">
      <c r="A275" s="12"/>
      <c r="B275" s="13"/>
      <c r="C275" s="13"/>
      <c r="D275" s="13"/>
      <c r="E275" s="13"/>
      <c r="F275" s="13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6">
        <f>SUM(H275:DL275)</f>
        <v>0</v>
      </c>
    </row>
    <row r="276" spans="1:117" x14ac:dyDescent="0.3">
      <c r="A276" s="17" t="s">
        <v>315</v>
      </c>
      <c r="B276" s="13" t="s">
        <v>316</v>
      </c>
      <c r="C276" s="13" t="s">
        <v>126</v>
      </c>
      <c r="D276" s="13">
        <v>0</v>
      </c>
      <c r="E276" s="13">
        <f>375011.6798*B2</f>
        <v>375011.67979999998</v>
      </c>
      <c r="F276" s="13">
        <f>D276*E276</f>
        <v>0</v>
      </c>
      <c r="G276" s="14">
        <f>F276/A1</f>
        <v>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9"/>
    </row>
    <row r="277" spans="1:117" x14ac:dyDescent="0.3">
      <c r="A277" s="12"/>
      <c r="B277" s="13"/>
      <c r="C277" s="13"/>
      <c r="D277" s="13"/>
      <c r="E277" s="13"/>
      <c r="F277" s="13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21">
        <f>SUM(H277:DL277)</f>
        <v>0</v>
      </c>
    </row>
    <row r="278" spans="1:117" x14ac:dyDescent="0.3">
      <c r="A278" s="12"/>
      <c r="B278" s="13"/>
      <c r="C278" s="13"/>
      <c r="D278" s="13"/>
      <c r="E278" s="13"/>
      <c r="F278" s="13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5">
        <v>1</v>
      </c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6">
        <f>SUM(H278:DL278)</f>
        <v>1</v>
      </c>
    </row>
    <row r="279" spans="1:117" x14ac:dyDescent="0.3">
      <c r="A279" s="17" t="s">
        <v>317</v>
      </c>
      <c r="B279" s="13" t="s">
        <v>318</v>
      </c>
      <c r="C279" s="13" t="s">
        <v>319</v>
      </c>
      <c r="D279" s="13">
        <v>1</v>
      </c>
      <c r="E279" s="13">
        <f>8402765.4333*B2</f>
        <v>8402765.4332999997</v>
      </c>
      <c r="F279" s="13">
        <f>D279*E279</f>
        <v>8402765.4332999997</v>
      </c>
      <c r="G279" s="14">
        <f>F279/A1</f>
        <v>1.0772935823301283E-4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8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9"/>
    </row>
    <row r="280" spans="1:117" x14ac:dyDescent="0.3">
      <c r="A280" s="12"/>
      <c r="B280" s="13"/>
      <c r="C280" s="13"/>
      <c r="D280" s="13"/>
      <c r="E280" s="13"/>
      <c r="F280" s="13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20">
        <f>+$D279*CO278</f>
        <v>1</v>
      </c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21">
        <f>SUM(H280:DL280)</f>
        <v>1</v>
      </c>
    </row>
    <row r="281" spans="1:117" x14ac:dyDescent="0.3">
      <c r="A281" s="12"/>
      <c r="B281" s="13"/>
      <c r="C281" s="13"/>
      <c r="D281" s="13"/>
      <c r="E281" s="13"/>
      <c r="F281" s="13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5">
        <v>1</v>
      </c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6">
        <f>SUM(H281:DL281)</f>
        <v>1</v>
      </c>
    </row>
    <row r="282" spans="1:117" x14ac:dyDescent="0.3">
      <c r="A282" s="17" t="s">
        <v>320</v>
      </c>
      <c r="B282" s="13" t="s">
        <v>321</v>
      </c>
      <c r="C282" s="13" t="s">
        <v>280</v>
      </c>
      <c r="D282" s="13">
        <v>2</v>
      </c>
      <c r="E282" s="13">
        <f>1547067.4047*B2</f>
        <v>1547067.4047000001</v>
      </c>
      <c r="F282" s="13">
        <f>D282*E282</f>
        <v>3094134.8094000001</v>
      </c>
      <c r="G282" s="14">
        <f>F282/A1</f>
        <v>3.9668982782990751E-5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8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9"/>
    </row>
    <row r="283" spans="1:117" x14ac:dyDescent="0.3">
      <c r="A283" s="12"/>
      <c r="B283" s="13"/>
      <c r="C283" s="13"/>
      <c r="D283" s="13"/>
      <c r="E283" s="13"/>
      <c r="F283" s="13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20">
        <f>+$D282*CO281</f>
        <v>2</v>
      </c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21">
        <f>SUM(H283:DL283)</f>
        <v>2</v>
      </c>
    </row>
    <row r="284" spans="1:117" x14ac:dyDescent="0.3">
      <c r="A284" s="12"/>
      <c r="B284" s="13"/>
      <c r="C284" s="13"/>
      <c r="D284" s="13"/>
      <c r="E284" s="13"/>
      <c r="F284" s="13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5">
        <v>1</v>
      </c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6">
        <f>SUM(H284:DL284)</f>
        <v>1</v>
      </c>
    </row>
    <row r="285" spans="1:117" x14ac:dyDescent="0.3">
      <c r="A285" s="17" t="s">
        <v>322</v>
      </c>
      <c r="B285" s="13" t="s">
        <v>323</v>
      </c>
      <c r="C285" s="13" t="s">
        <v>280</v>
      </c>
      <c r="D285" s="13">
        <v>1</v>
      </c>
      <c r="E285" s="13">
        <f>27210504.8057*B2</f>
        <v>27210504.8057</v>
      </c>
      <c r="F285" s="13">
        <f>D285*E285</f>
        <v>27210504.8057</v>
      </c>
      <c r="G285" s="14">
        <f>F285/A1</f>
        <v>3.4885779487517387E-4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8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9"/>
    </row>
    <row r="286" spans="1:117" x14ac:dyDescent="0.3">
      <c r="A286" s="12"/>
      <c r="B286" s="13"/>
      <c r="C286" s="13"/>
      <c r="D286" s="13"/>
      <c r="E286" s="13"/>
      <c r="F286" s="13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20">
        <f>+$D285*CX284</f>
        <v>1</v>
      </c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21">
        <f>SUM(H286:DL286)</f>
        <v>1</v>
      </c>
    </row>
    <row r="287" spans="1:117" x14ac:dyDescent="0.3">
      <c r="A287" s="12"/>
      <c r="B287" s="13"/>
      <c r="C287" s="13"/>
      <c r="D287" s="13"/>
      <c r="E287" s="13"/>
      <c r="F287" s="13"/>
      <c r="G287" s="1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5">
        <v>1</v>
      </c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6">
        <f>SUM(H287:DL287)</f>
        <v>1</v>
      </c>
    </row>
    <row r="288" spans="1:117" x14ac:dyDescent="0.3">
      <c r="A288" s="17" t="s">
        <v>324</v>
      </c>
      <c r="B288" s="13" t="s">
        <v>325</v>
      </c>
      <c r="C288" s="13" t="s">
        <v>280</v>
      </c>
      <c r="D288" s="13">
        <v>1</v>
      </c>
      <c r="E288" s="13">
        <f>26850167.2997*B2</f>
        <v>26850167.299699999</v>
      </c>
      <c r="F288" s="13">
        <f>D288*E288</f>
        <v>26850167.299699999</v>
      </c>
      <c r="G288" s="14">
        <f>F288/A1</f>
        <v>3.4423801480671853E-4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8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9"/>
    </row>
    <row r="289" spans="1:117" x14ac:dyDescent="0.3">
      <c r="A289" s="12"/>
      <c r="B289" s="13"/>
      <c r="C289" s="13"/>
      <c r="D289" s="13"/>
      <c r="E289" s="13"/>
      <c r="F289" s="13"/>
      <c r="G289" s="1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20">
        <f>+$D288*CY287</f>
        <v>1</v>
      </c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21">
        <f>SUM(H289:DL289)</f>
        <v>1</v>
      </c>
    </row>
    <row r="290" spans="1:117" x14ac:dyDescent="0.3">
      <c r="A290" s="12"/>
      <c r="B290" s="13"/>
      <c r="C290" s="13"/>
      <c r="D290" s="13"/>
      <c r="E290" s="13"/>
      <c r="F290" s="13"/>
      <c r="G290" s="1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5">
        <v>1</v>
      </c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6">
        <f>SUM(H290:DL290)</f>
        <v>1</v>
      </c>
    </row>
    <row r="291" spans="1:117" x14ac:dyDescent="0.3">
      <c r="A291" s="17" t="s">
        <v>326</v>
      </c>
      <c r="B291" s="13" t="s">
        <v>327</v>
      </c>
      <c r="C291" s="13" t="s">
        <v>280</v>
      </c>
      <c r="D291" s="13">
        <v>1</v>
      </c>
      <c r="E291" s="13">
        <f>54473158.7463*B2</f>
        <v>54473158.746299997</v>
      </c>
      <c r="F291" s="13">
        <f>D291*E291</f>
        <v>54473158.746299997</v>
      </c>
      <c r="G291" s="14">
        <f>F291/A1</f>
        <v>6.9838417830964746E-4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8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9"/>
    </row>
    <row r="292" spans="1:117" x14ac:dyDescent="0.3">
      <c r="A292" s="12"/>
      <c r="B292" s="13"/>
      <c r="C292" s="13"/>
      <c r="D292" s="13"/>
      <c r="E292" s="13"/>
      <c r="F292" s="13"/>
      <c r="G292" s="1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20">
        <f>+$D291*CO290</f>
        <v>1</v>
      </c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21">
        <f>SUM(H292:DL292)</f>
        <v>1</v>
      </c>
    </row>
    <row r="293" spans="1:117" x14ac:dyDescent="0.3">
      <c r="A293" s="12"/>
      <c r="B293" s="13"/>
      <c r="C293" s="13"/>
      <c r="D293" s="13"/>
      <c r="E293" s="13"/>
      <c r="F293" s="13"/>
      <c r="G293" s="1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5">
        <v>1</v>
      </c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6">
        <f>SUM(H293:DL293)</f>
        <v>1</v>
      </c>
    </row>
    <row r="294" spans="1:117" x14ac:dyDescent="0.3">
      <c r="A294" s="17" t="s">
        <v>328</v>
      </c>
      <c r="B294" s="13" t="s">
        <v>329</v>
      </c>
      <c r="C294" s="13" t="s">
        <v>280</v>
      </c>
      <c r="D294" s="13">
        <v>1</v>
      </c>
      <c r="E294" s="13">
        <f>30581438.3704*B2</f>
        <v>30581438.3704</v>
      </c>
      <c r="F294" s="13">
        <f>D294*E294</f>
        <v>30581438.3704</v>
      </c>
      <c r="G294" s="14">
        <f>F294/A1</f>
        <v>3.9207553223246131E-4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8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9"/>
    </row>
    <row r="295" spans="1:117" x14ac:dyDescent="0.3">
      <c r="A295" s="12"/>
      <c r="B295" s="13"/>
      <c r="C295" s="13"/>
      <c r="D295" s="13"/>
      <c r="E295" s="13"/>
      <c r="F295" s="13"/>
      <c r="G295" s="1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20">
        <f>+$D294*CV293</f>
        <v>1</v>
      </c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21">
        <f>SUM(H295:DL295)</f>
        <v>1</v>
      </c>
    </row>
    <row r="296" spans="1:117" x14ac:dyDescent="0.3">
      <c r="A296" s="12"/>
      <c r="B296" s="13"/>
      <c r="C296" s="13"/>
      <c r="D296" s="13"/>
      <c r="E296" s="13"/>
      <c r="F296" s="13"/>
      <c r="G296" s="1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5">
        <v>1</v>
      </c>
      <c r="DL296" s="13"/>
      <c r="DM296" s="16">
        <f>SUM(H296:DL296)</f>
        <v>1</v>
      </c>
    </row>
    <row r="297" spans="1:117" x14ac:dyDescent="0.3">
      <c r="A297" s="17" t="s">
        <v>330</v>
      </c>
      <c r="B297" s="13" t="s">
        <v>331</v>
      </c>
      <c r="C297" s="13" t="s">
        <v>280</v>
      </c>
      <c r="D297" s="13">
        <v>1</v>
      </c>
      <c r="E297" s="13">
        <f>54473158.7463*B2</f>
        <v>54473158.746299997</v>
      </c>
      <c r="F297" s="13">
        <f>D297*E297</f>
        <v>54473158.746299997</v>
      </c>
      <c r="G297" s="14">
        <f>F297/A1</f>
        <v>6.9838417830964746E-4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8"/>
      <c r="DL297" s="13"/>
      <c r="DM297" s="19"/>
    </row>
    <row r="298" spans="1:117" x14ac:dyDescent="0.3">
      <c r="A298" s="12"/>
      <c r="B298" s="13"/>
      <c r="C298" s="13"/>
      <c r="D298" s="13"/>
      <c r="E298" s="13"/>
      <c r="F298" s="13"/>
      <c r="G298" s="1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20">
        <f>+$D297*DK296</f>
        <v>1</v>
      </c>
      <c r="DL298" s="13"/>
      <c r="DM298" s="21">
        <f>SUM(H298:DL298)</f>
        <v>1</v>
      </c>
    </row>
    <row r="299" spans="1:117" x14ac:dyDescent="0.3">
      <c r="A299" s="12"/>
      <c r="B299" s="13"/>
      <c r="C299" s="13"/>
      <c r="D299" s="13"/>
      <c r="E299" s="13"/>
      <c r="F299" s="13"/>
      <c r="G299" s="1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5">
        <v>0.2</v>
      </c>
      <c r="CZ299" s="13"/>
      <c r="DA299" s="15">
        <v>0.4</v>
      </c>
      <c r="DB299" s="15">
        <v>0.4</v>
      </c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6">
        <f>SUM(H299:DL299)</f>
        <v>1</v>
      </c>
    </row>
    <row r="300" spans="1:117" x14ac:dyDescent="0.3">
      <c r="A300" s="17" t="s">
        <v>332</v>
      </c>
      <c r="B300" s="13" t="s">
        <v>333</v>
      </c>
      <c r="C300" s="13" t="s">
        <v>280</v>
      </c>
      <c r="D300" s="13">
        <v>5</v>
      </c>
      <c r="E300" s="13">
        <f>28908910.3465*B2</f>
        <v>28908910.346500002</v>
      </c>
      <c r="F300" s="13">
        <f>D300*E300</f>
        <v>144544551.73250002</v>
      </c>
      <c r="G300" s="14">
        <f>F300/A1</f>
        <v>1.8531627376518725E-3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8"/>
      <c r="CZ300" s="13"/>
      <c r="DA300" s="18"/>
      <c r="DB300" s="18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9"/>
    </row>
    <row r="301" spans="1:117" x14ac:dyDescent="0.3">
      <c r="A301" s="12"/>
      <c r="B301" s="13"/>
      <c r="C301" s="13"/>
      <c r="D301" s="13"/>
      <c r="E301" s="13"/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20">
        <f>+$D300*CY299</f>
        <v>1</v>
      </c>
      <c r="CZ301" s="13"/>
      <c r="DA301" s="20">
        <f>+$D300*DA299</f>
        <v>2</v>
      </c>
      <c r="DB301" s="20">
        <f>+$D300*DB299</f>
        <v>2</v>
      </c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21">
        <f>SUM(H301:DL301)</f>
        <v>5</v>
      </c>
    </row>
    <row r="302" spans="1:117" x14ac:dyDescent="0.3">
      <c r="A302" s="12"/>
      <c r="B302" s="13"/>
      <c r="C302" s="13"/>
      <c r="D302" s="13"/>
      <c r="E302" s="13"/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5">
        <v>0.7</v>
      </c>
      <c r="DB302" s="13"/>
      <c r="DC302" s="15">
        <v>0.3</v>
      </c>
      <c r="DD302" s="13"/>
      <c r="DE302" s="13"/>
      <c r="DF302" s="13"/>
      <c r="DG302" s="13"/>
      <c r="DH302" s="13"/>
      <c r="DI302" s="13"/>
      <c r="DJ302" s="13"/>
      <c r="DK302" s="13"/>
      <c r="DL302" s="13"/>
      <c r="DM302" s="16">
        <f>SUM(H302:DL302)</f>
        <v>1</v>
      </c>
    </row>
    <row r="303" spans="1:117" x14ac:dyDescent="0.3">
      <c r="A303" s="17" t="s">
        <v>334</v>
      </c>
      <c r="B303" s="13" t="s">
        <v>335</v>
      </c>
      <c r="C303" s="13" t="s">
        <v>280</v>
      </c>
      <c r="D303" s="13">
        <v>2</v>
      </c>
      <c r="E303" s="13">
        <f>26884198.6227*B2</f>
        <v>26884198.622699998</v>
      </c>
      <c r="F303" s="13">
        <f>D303*E303</f>
        <v>53768397.245399997</v>
      </c>
      <c r="G303" s="14">
        <f>F303/A1</f>
        <v>6.8934864056889263E-4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8"/>
      <c r="DB303" s="13"/>
      <c r="DC303" s="18"/>
      <c r="DD303" s="13"/>
      <c r="DE303" s="13"/>
      <c r="DF303" s="13"/>
      <c r="DG303" s="13"/>
      <c r="DH303" s="13"/>
      <c r="DI303" s="13"/>
      <c r="DJ303" s="13"/>
      <c r="DK303" s="13"/>
      <c r="DL303" s="13"/>
      <c r="DM303" s="19"/>
    </row>
    <row r="304" spans="1:117" x14ac:dyDescent="0.3">
      <c r="A304" s="12"/>
      <c r="B304" s="13"/>
      <c r="C304" s="13"/>
      <c r="D304" s="13"/>
      <c r="E304" s="13"/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20">
        <f>+$D303*DA302</f>
        <v>1.4</v>
      </c>
      <c r="DB304" s="13"/>
      <c r="DC304" s="20">
        <f>+$D303*DC302</f>
        <v>0.6</v>
      </c>
      <c r="DD304" s="13"/>
      <c r="DE304" s="13"/>
      <c r="DF304" s="13"/>
      <c r="DG304" s="13"/>
      <c r="DH304" s="13"/>
      <c r="DI304" s="13"/>
      <c r="DJ304" s="13"/>
      <c r="DK304" s="13"/>
      <c r="DL304" s="13"/>
      <c r="DM304" s="21">
        <f>SUM(H304:DL304)</f>
        <v>2</v>
      </c>
    </row>
    <row r="305" spans="1:117" x14ac:dyDescent="0.3">
      <c r="A305" s="12"/>
      <c r="B305" s="13"/>
      <c r="C305" s="13"/>
      <c r="D305" s="13"/>
      <c r="E305" s="13"/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5">
        <v>0.7</v>
      </c>
      <c r="CZ305" s="13"/>
      <c r="DA305" s="15">
        <v>0.3</v>
      </c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6">
        <f>SUM(H305:DL305)</f>
        <v>1</v>
      </c>
    </row>
    <row r="306" spans="1:117" x14ac:dyDescent="0.3">
      <c r="A306" s="17" t="s">
        <v>336</v>
      </c>
      <c r="B306" s="13" t="s">
        <v>337</v>
      </c>
      <c r="C306" s="13" t="s">
        <v>280</v>
      </c>
      <c r="D306" s="13">
        <v>2</v>
      </c>
      <c r="E306" s="13">
        <f>58585586.6798*B2</f>
        <v>58585586.679799996</v>
      </c>
      <c r="F306" s="13">
        <f>D306*E306</f>
        <v>117171173.35959999</v>
      </c>
      <c r="G306" s="14">
        <f>F306/A1</f>
        <v>1.5022167891793074E-3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8"/>
      <c r="CZ306" s="13"/>
      <c r="DA306" s="18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9"/>
    </row>
    <row r="307" spans="1:117" x14ac:dyDescent="0.3">
      <c r="A307" s="12"/>
      <c r="B307" s="13"/>
      <c r="C307" s="13"/>
      <c r="D307" s="13"/>
      <c r="E307" s="13"/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20">
        <f>+$D306*CY305</f>
        <v>1.4</v>
      </c>
      <c r="CZ307" s="13"/>
      <c r="DA307" s="20">
        <f>+$D306*DA305</f>
        <v>0.6</v>
      </c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21">
        <f>SUM(H307:DL307)</f>
        <v>2</v>
      </c>
    </row>
    <row r="308" spans="1:117" x14ac:dyDescent="0.3">
      <c r="A308" s="12"/>
      <c r="B308" s="13"/>
      <c r="C308" s="13"/>
      <c r="D308" s="13"/>
      <c r="E308" s="13"/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5">
        <v>0.5</v>
      </c>
      <c r="CK308" s="13"/>
      <c r="CL308" s="13"/>
      <c r="CM308" s="15">
        <v>0.5</v>
      </c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6">
        <f>SUM(H308:DL308)</f>
        <v>1</v>
      </c>
    </row>
    <row r="309" spans="1:117" x14ac:dyDescent="0.3">
      <c r="A309" s="17" t="s">
        <v>338</v>
      </c>
      <c r="B309" s="13" t="s">
        <v>339</v>
      </c>
      <c r="C309" s="13" t="s">
        <v>319</v>
      </c>
      <c r="D309" s="13">
        <v>1</v>
      </c>
      <c r="E309" s="13">
        <f>0*B2</f>
        <v>0</v>
      </c>
      <c r="F309" s="13">
        <f>D309*E309</f>
        <v>0</v>
      </c>
      <c r="G309" s="14">
        <f>F309/A1</f>
        <v>0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8"/>
      <c r="CK309" s="13"/>
      <c r="CL309" s="13"/>
      <c r="CM309" s="18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9"/>
    </row>
    <row r="310" spans="1:117" x14ac:dyDescent="0.3">
      <c r="A310" s="12"/>
      <c r="B310" s="13"/>
      <c r="C310" s="13"/>
      <c r="D310" s="13"/>
      <c r="E310" s="13"/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20">
        <f>+$D309*CJ308</f>
        <v>0.5</v>
      </c>
      <c r="CK310" s="13"/>
      <c r="CL310" s="13"/>
      <c r="CM310" s="20">
        <f>+$D309*CM308</f>
        <v>0.5</v>
      </c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21">
        <f>SUM(H310:DL310)</f>
        <v>1</v>
      </c>
    </row>
    <row r="311" spans="1:117" x14ac:dyDescent="0.3">
      <c r="A311" s="12"/>
      <c r="B311" s="13"/>
      <c r="C311" s="13"/>
      <c r="D311" s="13"/>
      <c r="E311" s="13"/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6">
        <f>SUM(H311:DL311)</f>
        <v>0</v>
      </c>
    </row>
    <row r="312" spans="1:117" x14ac:dyDescent="0.3">
      <c r="A312" s="17" t="s">
        <v>340</v>
      </c>
      <c r="B312" s="13" t="s">
        <v>341</v>
      </c>
      <c r="C312" s="13" t="s">
        <v>342</v>
      </c>
      <c r="D312" s="13">
        <v>0</v>
      </c>
      <c r="E312" s="13">
        <f>0*B2</f>
        <v>0</v>
      </c>
      <c r="F312" s="13">
        <f>D312*E312</f>
        <v>0</v>
      </c>
      <c r="G312" s="14">
        <f>F312/A1</f>
        <v>0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9"/>
    </row>
    <row r="313" spans="1:117" x14ac:dyDescent="0.3">
      <c r="A313" s="12"/>
      <c r="B313" s="13"/>
      <c r="C313" s="13"/>
      <c r="D313" s="13"/>
      <c r="E313" s="13"/>
      <c r="F313" s="13"/>
      <c r="G313" s="1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21">
        <f>SUM(H313:DL313)</f>
        <v>0</v>
      </c>
    </row>
    <row r="314" spans="1:117" x14ac:dyDescent="0.3">
      <c r="A314" s="8" t="s">
        <v>343</v>
      </c>
      <c r="B314" s="9" t="s">
        <v>344</v>
      </c>
      <c r="C314" s="9"/>
      <c r="D314" s="9"/>
      <c r="E314" s="9"/>
      <c r="F314" s="9"/>
      <c r="G314" s="1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11"/>
    </row>
    <row r="315" spans="1:117" x14ac:dyDescent="0.3">
      <c r="A315" s="12"/>
      <c r="B315" s="13"/>
      <c r="C315" s="13"/>
      <c r="D315" s="13"/>
      <c r="E315" s="13"/>
      <c r="F315" s="13"/>
      <c r="G315" s="1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5">
        <v>1</v>
      </c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6">
        <f>SUM(H315:DL315)</f>
        <v>1</v>
      </c>
    </row>
    <row r="316" spans="1:117" x14ac:dyDescent="0.3">
      <c r="A316" s="17" t="s">
        <v>345</v>
      </c>
      <c r="B316" s="13" t="s">
        <v>346</v>
      </c>
      <c r="C316" s="13" t="s">
        <v>347</v>
      </c>
      <c r="D316" s="13">
        <v>488.88</v>
      </c>
      <c r="E316" s="13">
        <f>23883.1854*B2</f>
        <v>23883.185399999998</v>
      </c>
      <c r="F316" s="13">
        <f>D316*E316</f>
        <v>11676011.678351998</v>
      </c>
      <c r="G316" s="14">
        <f>F316/A1</f>
        <v>1.4969467549875797E-4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8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9"/>
    </row>
    <row r="317" spans="1:117" x14ac:dyDescent="0.3">
      <c r="A317" s="12"/>
      <c r="B317" s="13"/>
      <c r="C317" s="13"/>
      <c r="D317" s="13"/>
      <c r="E317" s="13"/>
      <c r="F317" s="13"/>
      <c r="G317" s="1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20">
        <f>+$D316*CW315</f>
        <v>488.88</v>
      </c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21">
        <f>SUM(H317:DL317)</f>
        <v>488.88</v>
      </c>
    </row>
    <row r="318" spans="1:117" x14ac:dyDescent="0.3">
      <c r="A318" s="12"/>
      <c r="B318" s="13"/>
      <c r="C318" s="13"/>
      <c r="D318" s="13"/>
      <c r="E318" s="13"/>
      <c r="F318" s="13"/>
      <c r="G318" s="1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5">
        <v>1</v>
      </c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6">
        <f>SUM(H318:DL318)</f>
        <v>1</v>
      </c>
    </row>
    <row r="319" spans="1:117" x14ac:dyDescent="0.3">
      <c r="A319" s="17" t="s">
        <v>348</v>
      </c>
      <c r="B319" s="13" t="s">
        <v>349</v>
      </c>
      <c r="C319" s="13" t="s">
        <v>347</v>
      </c>
      <c r="D319" s="13">
        <v>5.88</v>
      </c>
      <c r="E319" s="13">
        <f>409410.5838*B2</f>
        <v>409410.58380000002</v>
      </c>
      <c r="F319" s="13">
        <f>D319*E319</f>
        <v>2407334.2327439999</v>
      </c>
      <c r="G319" s="14">
        <f>F319/A1</f>
        <v>3.0863716713798972E-5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8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9"/>
    </row>
    <row r="320" spans="1:117" x14ac:dyDescent="0.3">
      <c r="A320" s="12"/>
      <c r="B320" s="13"/>
      <c r="C320" s="13"/>
      <c r="D320" s="13"/>
      <c r="E320" s="13"/>
      <c r="F320" s="13"/>
      <c r="G320" s="1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20">
        <f>+$D319*CW318</f>
        <v>5.88</v>
      </c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21">
        <f>SUM(H320:DL320)</f>
        <v>5.88</v>
      </c>
    </row>
    <row r="321" spans="1:117" x14ac:dyDescent="0.3">
      <c r="A321" s="12"/>
      <c r="B321" s="13"/>
      <c r="C321" s="13"/>
      <c r="D321" s="13"/>
      <c r="E321" s="13"/>
      <c r="F321" s="13"/>
      <c r="G321" s="1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5">
        <v>1</v>
      </c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6">
        <f>SUM(H321:DL321)</f>
        <v>1</v>
      </c>
    </row>
    <row r="322" spans="1:117" x14ac:dyDescent="0.3">
      <c r="A322" s="17" t="s">
        <v>350</v>
      </c>
      <c r="B322" s="13" t="s">
        <v>351</v>
      </c>
      <c r="C322" s="13" t="s">
        <v>347</v>
      </c>
      <c r="D322" s="13">
        <v>79.61</v>
      </c>
      <c r="E322" s="13">
        <f>1379401.4327*B2</f>
        <v>1379401.4327</v>
      </c>
      <c r="F322" s="13">
        <f>D322*E322</f>
        <v>109814148.057247</v>
      </c>
      <c r="G322" s="14">
        <f>F322/A1</f>
        <v>1.4078945543605662E-3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8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9"/>
    </row>
    <row r="323" spans="1:117" x14ac:dyDescent="0.3">
      <c r="A323" s="12"/>
      <c r="B323" s="13"/>
      <c r="C323" s="13"/>
      <c r="D323" s="13"/>
      <c r="E323" s="13"/>
      <c r="F323" s="13"/>
      <c r="G323" s="1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20">
        <f>+$D322*CW321</f>
        <v>79.61</v>
      </c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21">
        <f>SUM(H323:DL323)</f>
        <v>79.61</v>
      </c>
    </row>
    <row r="324" spans="1:117" x14ac:dyDescent="0.3">
      <c r="A324" s="12"/>
      <c r="B324" s="13"/>
      <c r="C324" s="13"/>
      <c r="D324" s="13"/>
      <c r="E324" s="13"/>
      <c r="F324" s="13"/>
      <c r="G324" s="1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5">
        <v>1</v>
      </c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6">
        <f>SUM(H324:DL324)</f>
        <v>1</v>
      </c>
    </row>
    <row r="325" spans="1:117" x14ac:dyDescent="0.3">
      <c r="A325" s="17" t="s">
        <v>352</v>
      </c>
      <c r="B325" s="13" t="s">
        <v>353</v>
      </c>
      <c r="C325" s="13" t="s">
        <v>274</v>
      </c>
      <c r="D325" s="13">
        <v>198</v>
      </c>
      <c r="E325" s="13">
        <f>24796.3473*B2</f>
        <v>24796.347300000001</v>
      </c>
      <c r="F325" s="13">
        <f>D325*E325</f>
        <v>4909676.7653999999</v>
      </c>
      <c r="G325" s="14">
        <f>F325/A1</f>
        <v>6.2945506603336919E-5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8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9"/>
    </row>
    <row r="326" spans="1:117" x14ac:dyDescent="0.3">
      <c r="A326" s="12"/>
      <c r="B326" s="13"/>
      <c r="C326" s="13"/>
      <c r="D326" s="13"/>
      <c r="E326" s="13"/>
      <c r="F326" s="13"/>
      <c r="G326" s="1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20">
        <f>+$D325*CW324</f>
        <v>198</v>
      </c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21">
        <f>SUM(H326:DL326)</f>
        <v>198</v>
      </c>
    </row>
    <row r="327" spans="1:117" x14ac:dyDescent="0.3">
      <c r="A327" s="12"/>
      <c r="B327" s="13"/>
      <c r="C327" s="13"/>
      <c r="D327" s="13"/>
      <c r="E327" s="13"/>
      <c r="F327" s="13"/>
      <c r="G327" s="1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5">
        <v>1</v>
      </c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6">
        <f>SUM(H327:DL327)</f>
        <v>1</v>
      </c>
    </row>
    <row r="328" spans="1:117" x14ac:dyDescent="0.3">
      <c r="A328" s="17" t="s">
        <v>354</v>
      </c>
      <c r="B328" s="13" t="s">
        <v>355</v>
      </c>
      <c r="C328" s="13" t="s">
        <v>347</v>
      </c>
      <c r="D328" s="13">
        <v>230.85</v>
      </c>
      <c r="E328" s="13">
        <f>65271.7598*B2</f>
        <v>65271.7598</v>
      </c>
      <c r="F328" s="13">
        <f>D328*E328</f>
        <v>15067985.74983</v>
      </c>
      <c r="G328" s="14">
        <f>F328/A1</f>
        <v>1.9318216693999364E-4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8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9"/>
    </row>
    <row r="329" spans="1:117" x14ac:dyDescent="0.3">
      <c r="A329" s="12"/>
      <c r="B329" s="13"/>
      <c r="C329" s="13"/>
      <c r="D329" s="13"/>
      <c r="E329" s="13"/>
      <c r="F329" s="13"/>
      <c r="G329" s="1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20">
        <f>+$D328*CW327</f>
        <v>230.85</v>
      </c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21">
        <f>SUM(H329:DL329)</f>
        <v>230.85</v>
      </c>
    </row>
    <row r="330" spans="1:117" x14ac:dyDescent="0.3">
      <c r="A330" s="12"/>
      <c r="B330" s="13"/>
      <c r="C330" s="13"/>
      <c r="D330" s="13"/>
      <c r="E330" s="13"/>
      <c r="F330" s="13"/>
      <c r="G330" s="1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5">
        <v>1</v>
      </c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6">
        <f>SUM(H330:DL330)</f>
        <v>1</v>
      </c>
    </row>
    <row r="331" spans="1:117" x14ac:dyDescent="0.3">
      <c r="A331" s="17" t="s">
        <v>356</v>
      </c>
      <c r="B331" s="13" t="s">
        <v>357</v>
      </c>
      <c r="C331" s="13" t="s">
        <v>319</v>
      </c>
      <c r="D331" s="13">
        <v>1</v>
      </c>
      <c r="E331" s="13">
        <f>452422896.7077*B2</f>
        <v>452422896.70770001</v>
      </c>
      <c r="F331" s="13">
        <f>D331*E331</f>
        <v>452422896.70770001</v>
      </c>
      <c r="G331" s="14">
        <f>F331/A1</f>
        <v>5.8003794940042651E-3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8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9"/>
    </row>
    <row r="332" spans="1:117" x14ac:dyDescent="0.3">
      <c r="A332" s="12"/>
      <c r="B332" s="13"/>
      <c r="C332" s="13"/>
      <c r="D332" s="13"/>
      <c r="E332" s="13"/>
      <c r="F332" s="13"/>
      <c r="G332" s="1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20">
        <f>+$D331*CX330</f>
        <v>1</v>
      </c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21">
        <f>SUM(H332:DL332)</f>
        <v>1</v>
      </c>
    </row>
    <row r="333" spans="1:117" x14ac:dyDescent="0.3">
      <c r="A333" s="12"/>
      <c r="B333" s="13"/>
      <c r="C333" s="13"/>
      <c r="D333" s="13"/>
      <c r="E333" s="13"/>
      <c r="F333" s="13"/>
      <c r="G333" s="1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5">
        <v>1</v>
      </c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6">
        <f>SUM(H333:DL333)</f>
        <v>1</v>
      </c>
    </row>
    <row r="334" spans="1:117" x14ac:dyDescent="0.3">
      <c r="A334" s="17" t="s">
        <v>358</v>
      </c>
      <c r="B334" s="13" t="s">
        <v>359</v>
      </c>
      <c r="C334" s="13" t="s">
        <v>319</v>
      </c>
      <c r="D334" s="13">
        <v>1</v>
      </c>
      <c r="E334" s="13">
        <f>33326151.1275*B2</f>
        <v>33326151.127500001</v>
      </c>
      <c r="F334" s="13">
        <f>D334*E334</f>
        <v>33326151.127500001</v>
      </c>
      <c r="G334" s="14">
        <f>F334/A1</f>
        <v>4.2726467873470067E-4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8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9"/>
    </row>
    <row r="335" spans="1:117" x14ac:dyDescent="0.3">
      <c r="A335" s="12"/>
      <c r="B335" s="13"/>
      <c r="C335" s="13"/>
      <c r="D335" s="13"/>
      <c r="E335" s="13"/>
      <c r="F335" s="13"/>
      <c r="G335" s="1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20">
        <f>+$D334*CX333</f>
        <v>1</v>
      </c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21">
        <f>SUM(H335:DL335)</f>
        <v>1</v>
      </c>
    </row>
    <row r="336" spans="1:117" x14ac:dyDescent="0.3">
      <c r="A336" s="8" t="s">
        <v>360</v>
      </c>
      <c r="B336" s="9" t="s">
        <v>361</v>
      </c>
      <c r="C336" s="9"/>
      <c r="D336" s="9"/>
      <c r="E336" s="9"/>
      <c r="F336" s="9"/>
      <c r="G336" s="1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11"/>
    </row>
    <row r="337" spans="1:117" x14ac:dyDescent="0.3">
      <c r="A337" s="12"/>
      <c r="B337" s="13"/>
      <c r="C337" s="13"/>
      <c r="D337" s="13"/>
      <c r="E337" s="13"/>
      <c r="F337" s="13"/>
      <c r="G337" s="1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6">
        <f>SUM(H337:DL337)</f>
        <v>0</v>
      </c>
    </row>
    <row r="338" spans="1:117" x14ac:dyDescent="0.3">
      <c r="A338" s="17" t="s">
        <v>362</v>
      </c>
      <c r="B338" s="13" t="s">
        <v>363</v>
      </c>
      <c r="C338" s="13" t="s">
        <v>364</v>
      </c>
      <c r="D338" s="13">
        <v>0</v>
      </c>
      <c r="E338" s="13">
        <f>1273310694.5702*B2</f>
        <v>1273310694.5702</v>
      </c>
      <c r="F338" s="13">
        <f>D338*E338</f>
        <v>0</v>
      </c>
      <c r="G338" s="14">
        <f>F338/A1</f>
        <v>0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9"/>
    </row>
    <row r="339" spans="1:117" x14ac:dyDescent="0.3">
      <c r="A339" s="12"/>
      <c r="B339" s="13"/>
      <c r="C339" s="13"/>
      <c r="D339" s="13"/>
      <c r="E339" s="13"/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21">
        <f>SUM(H339:DL339)</f>
        <v>0</v>
      </c>
    </row>
    <row r="340" spans="1:117" x14ac:dyDescent="0.3">
      <c r="A340" s="8" t="s">
        <v>365</v>
      </c>
      <c r="B340" s="9" t="s">
        <v>366</v>
      </c>
      <c r="C340" s="9"/>
      <c r="D340" s="9"/>
      <c r="E340" s="9"/>
      <c r="F340" s="9"/>
      <c r="G340" s="1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11"/>
    </row>
    <row r="341" spans="1:117" x14ac:dyDescent="0.3">
      <c r="A341" s="12"/>
      <c r="B341" s="13"/>
      <c r="C341" s="13"/>
      <c r="D341" s="13"/>
      <c r="E341" s="13"/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5">
        <v>0.56818299999999999</v>
      </c>
      <c r="BG341" s="15">
        <v>1.7500999999999999E-2</v>
      </c>
      <c r="BH341" s="15">
        <v>0.13741200000000001</v>
      </c>
      <c r="BI341" s="15">
        <v>8.5559999999999994E-3</v>
      </c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5">
        <v>7.7781000000000003E-2</v>
      </c>
      <c r="CL341" s="15">
        <v>1.9539999999999998E-2</v>
      </c>
      <c r="CM341" s="15">
        <v>9.7321000000000005E-2</v>
      </c>
      <c r="CN341" s="15">
        <v>9.2130000000000007E-3</v>
      </c>
      <c r="CO341" s="13"/>
      <c r="CP341" s="15">
        <v>3.9490000000000003E-3</v>
      </c>
      <c r="CQ341" s="15">
        <v>3.6849999999999999E-3</v>
      </c>
      <c r="CR341" s="15">
        <v>5.5279999999999999E-3</v>
      </c>
      <c r="CS341" s="13"/>
      <c r="CT341" s="15">
        <v>1.3162E-2</v>
      </c>
      <c r="CU341" s="15">
        <v>5.5279999999999999E-3</v>
      </c>
      <c r="CV341" s="15">
        <v>3.9490000000000003E-3</v>
      </c>
      <c r="CW341" s="15">
        <v>9.7400000000000004E-3</v>
      </c>
      <c r="CX341" s="13"/>
      <c r="CY341" s="15">
        <v>3.1589999999999999E-3</v>
      </c>
      <c r="CZ341" s="13"/>
      <c r="DA341" s="13"/>
      <c r="DB341" s="13"/>
      <c r="DC341" s="13"/>
      <c r="DD341" s="13"/>
      <c r="DE341" s="15">
        <v>2.6319999999999998E-3</v>
      </c>
      <c r="DF341" s="13"/>
      <c r="DG341" s="15">
        <v>5.2649999999999997E-3</v>
      </c>
      <c r="DH341" s="13"/>
      <c r="DI341" s="15">
        <v>1.3159999999999999E-3</v>
      </c>
      <c r="DJ341" s="15">
        <v>1.3159999999999999E-3</v>
      </c>
      <c r="DK341" s="13"/>
      <c r="DL341" s="15">
        <v>5.2649999999999997E-3</v>
      </c>
      <c r="DM341" s="16">
        <f>SUM(H341:DL341)</f>
        <v>1.0000009999999999</v>
      </c>
    </row>
    <row r="342" spans="1:117" x14ac:dyDescent="0.3">
      <c r="A342" s="17" t="s">
        <v>367</v>
      </c>
      <c r="B342" s="13" t="s">
        <v>368</v>
      </c>
      <c r="C342" s="13" t="s">
        <v>126</v>
      </c>
      <c r="D342" s="13">
        <v>7714</v>
      </c>
      <c r="E342" s="13">
        <f>7751.693*B2</f>
        <v>7751.6930000000002</v>
      </c>
      <c r="F342" s="13">
        <f>D342*E342</f>
        <v>59796559.802000001</v>
      </c>
      <c r="G342" s="14">
        <f>F342/A1</f>
        <v>7.6663392107585487E-4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8"/>
      <c r="BG342" s="18"/>
      <c r="BH342" s="18"/>
      <c r="BI342" s="18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8"/>
      <c r="CL342" s="18"/>
      <c r="CM342" s="18"/>
      <c r="CN342" s="18"/>
      <c r="CO342" s="13"/>
      <c r="CP342" s="18"/>
      <c r="CQ342" s="18"/>
      <c r="CR342" s="18"/>
      <c r="CS342" s="13"/>
      <c r="CT342" s="18"/>
      <c r="CU342" s="18"/>
      <c r="CV342" s="18"/>
      <c r="CW342" s="18"/>
      <c r="CX342" s="13"/>
      <c r="CY342" s="18"/>
      <c r="CZ342" s="13"/>
      <c r="DA342" s="13"/>
      <c r="DB342" s="13"/>
      <c r="DC342" s="13"/>
      <c r="DD342" s="13"/>
      <c r="DE342" s="18"/>
      <c r="DF342" s="13"/>
      <c r="DG342" s="18"/>
      <c r="DH342" s="13"/>
      <c r="DI342" s="18"/>
      <c r="DJ342" s="18"/>
      <c r="DK342" s="13"/>
      <c r="DL342" s="18"/>
      <c r="DM342" s="19"/>
    </row>
    <row r="343" spans="1:117" x14ac:dyDescent="0.3">
      <c r="A343" s="12"/>
      <c r="B343" s="13"/>
      <c r="C343" s="13"/>
      <c r="D343" s="13"/>
      <c r="E343" s="13"/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20">
        <f>+$D342*BF341</f>
        <v>4382.9636620000001</v>
      </c>
      <c r="BG343" s="20">
        <f>+$D342*BG341</f>
        <v>135.002714</v>
      </c>
      <c r="BH343" s="20">
        <f>+$D342*BH341</f>
        <v>1059.9961680000001</v>
      </c>
      <c r="BI343" s="20">
        <f>+$D342*BI341</f>
        <v>66.000983999999988</v>
      </c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20">
        <f>+$D342*CK341</f>
        <v>600.00263400000006</v>
      </c>
      <c r="CL343" s="20">
        <f>+$D342*CL341</f>
        <v>150.73155999999997</v>
      </c>
      <c r="CM343" s="20">
        <f>+$D342*CM341</f>
        <v>750.734194</v>
      </c>
      <c r="CN343" s="20">
        <f>+$D342*CN341</f>
        <v>71.069082000000009</v>
      </c>
      <c r="CO343" s="13"/>
      <c r="CP343" s="20">
        <f>+$D342*CP341</f>
        <v>30.462586000000002</v>
      </c>
      <c r="CQ343" s="20">
        <f>+$D342*CQ341</f>
        <v>28.426089999999999</v>
      </c>
      <c r="CR343" s="20">
        <f>+$D342*CR341</f>
        <v>42.642992</v>
      </c>
      <c r="CS343" s="13"/>
      <c r="CT343" s="20">
        <f>+$D342*CT341</f>
        <v>101.531668</v>
      </c>
      <c r="CU343" s="20">
        <f>+$D342*CU341</f>
        <v>42.642992</v>
      </c>
      <c r="CV343" s="20">
        <f>+$D342*CV341</f>
        <v>30.462586000000002</v>
      </c>
      <c r="CW343" s="20">
        <f>+$D342*CW341</f>
        <v>75.134360000000001</v>
      </c>
      <c r="CX343" s="13"/>
      <c r="CY343" s="20">
        <f>+$D342*CY341</f>
        <v>24.368525999999999</v>
      </c>
      <c r="CZ343" s="13"/>
      <c r="DA343" s="13"/>
      <c r="DB343" s="13"/>
      <c r="DC343" s="13"/>
      <c r="DD343" s="13"/>
      <c r="DE343" s="20">
        <f>+$D342*DE341</f>
        <v>20.303248</v>
      </c>
      <c r="DF343" s="13"/>
      <c r="DG343" s="20">
        <f>+$D342*DG341</f>
        <v>40.61421</v>
      </c>
      <c r="DH343" s="13"/>
      <c r="DI343" s="20">
        <f>+$D342*DI341</f>
        <v>10.151624</v>
      </c>
      <c r="DJ343" s="20">
        <f>+$D342*DJ341</f>
        <v>10.151624</v>
      </c>
      <c r="DK343" s="13"/>
      <c r="DL343" s="20">
        <f>+$D342*DL341</f>
        <v>40.61421</v>
      </c>
      <c r="DM343" s="21">
        <f>SUM(H343:DL343)</f>
        <v>7714.0077139999994</v>
      </c>
    </row>
    <row r="344" spans="1:117" x14ac:dyDescent="0.3">
      <c r="A344" s="8" t="s">
        <v>369</v>
      </c>
      <c r="B344" s="9" t="s">
        <v>370</v>
      </c>
      <c r="C344" s="9"/>
      <c r="D344" s="9"/>
      <c r="E344" s="9"/>
      <c r="F344" s="9"/>
      <c r="G344" s="1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11"/>
    </row>
    <row r="345" spans="1:117" x14ac:dyDescent="0.3">
      <c r="A345" s="12"/>
      <c r="B345" s="13"/>
      <c r="C345" s="13"/>
      <c r="D345" s="13"/>
      <c r="E345" s="13"/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5">
        <v>5.5430000000000002E-3</v>
      </c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5">
        <v>0.331486</v>
      </c>
      <c r="CN345" s="15">
        <v>0.66297099999999998</v>
      </c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6">
        <f>SUM(H345:DL345)</f>
        <v>1</v>
      </c>
    </row>
    <row r="346" spans="1:117" x14ac:dyDescent="0.3">
      <c r="A346" s="17" t="s">
        <v>371</v>
      </c>
      <c r="B346" s="13" t="s">
        <v>372</v>
      </c>
      <c r="C346" s="13" t="s">
        <v>126</v>
      </c>
      <c r="D346" s="13">
        <v>1803.96</v>
      </c>
      <c r="E346" s="13">
        <f>7559.668*B2</f>
        <v>7559.6679999999997</v>
      </c>
      <c r="F346" s="13">
        <f>D346*E346</f>
        <v>13637338.685279999</v>
      </c>
      <c r="G346" s="14">
        <f>F346/A1</f>
        <v>1.7484026612825255E-4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8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8"/>
      <c r="CN346" s="18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9"/>
    </row>
    <row r="347" spans="1:117" x14ac:dyDescent="0.3">
      <c r="A347" s="12"/>
      <c r="B347" s="13"/>
      <c r="C347" s="13"/>
      <c r="D347" s="13"/>
      <c r="E347" s="13"/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20">
        <f>+$D346*BG345</f>
        <v>9.9993502799999998</v>
      </c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20">
        <f>+$D346*CM345</f>
        <v>597.98748455999998</v>
      </c>
      <c r="CN347" s="20">
        <f>+$D346*CN345</f>
        <v>1195.97316516</v>
      </c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21">
        <f>SUM(H347:DL347)</f>
        <v>1803.96</v>
      </c>
    </row>
    <row r="348" spans="1:117" x14ac:dyDescent="0.3">
      <c r="A348" s="8" t="s">
        <v>373</v>
      </c>
      <c r="B348" s="9" t="s">
        <v>374</v>
      </c>
      <c r="C348" s="9"/>
      <c r="D348" s="9"/>
      <c r="E348" s="9"/>
      <c r="F348" s="9"/>
      <c r="G348" s="1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11"/>
    </row>
    <row r="349" spans="1:117" x14ac:dyDescent="0.3">
      <c r="A349" s="12"/>
      <c r="B349" s="13"/>
      <c r="C349" s="13"/>
      <c r="D349" s="13"/>
      <c r="E349" s="13"/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5">
        <v>0.60674300000000003</v>
      </c>
      <c r="BG349" s="15">
        <v>2.4550000000000002E-3</v>
      </c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5">
        <v>5.5806000000000001E-2</v>
      </c>
      <c r="CL349" s="15">
        <v>0.13678100000000001</v>
      </c>
      <c r="CM349" s="15">
        <v>0.139596</v>
      </c>
      <c r="CN349" s="15">
        <v>5.8619999999999998E-2</v>
      </c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6">
        <f>SUM(H349:DL349)</f>
        <v>1.0000009999999999</v>
      </c>
    </row>
    <row r="350" spans="1:117" x14ac:dyDescent="0.3">
      <c r="A350" s="17" t="s">
        <v>375</v>
      </c>
      <c r="B350" s="13" t="s">
        <v>376</v>
      </c>
      <c r="C350" s="13" t="s">
        <v>135</v>
      </c>
      <c r="D350" s="13">
        <v>52808.1</v>
      </c>
      <c r="E350" s="13">
        <f>8352.1688*B2</f>
        <v>8352.1687999999995</v>
      </c>
      <c r="F350" s="13">
        <f>D350*E350</f>
        <v>441062165.20727998</v>
      </c>
      <c r="G350" s="14">
        <f>F350/A1</f>
        <v>5.6547269319622978E-3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8"/>
      <c r="BG350" s="18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8"/>
      <c r="CL350" s="18"/>
      <c r="CM350" s="18"/>
      <c r="CN350" s="18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9"/>
    </row>
    <row r="351" spans="1:117" x14ac:dyDescent="0.3">
      <c r="A351" s="12"/>
      <c r="B351" s="13"/>
      <c r="C351" s="13"/>
      <c r="D351" s="13"/>
      <c r="E351" s="13"/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20">
        <f>+$D350*BF349</f>
        <v>32040.945018300001</v>
      </c>
      <c r="BG351" s="20">
        <f>+$D350*BG349</f>
        <v>129.64388550000001</v>
      </c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20">
        <f>+$D350*CK349</f>
        <v>2947.0088286</v>
      </c>
      <c r="CL351" s="20">
        <f>+$D350*CL349</f>
        <v>7223.1447261000003</v>
      </c>
      <c r="CM351" s="20">
        <f>+$D350*CM349</f>
        <v>7371.7995275999992</v>
      </c>
      <c r="CN351" s="20">
        <f>+$D350*CN349</f>
        <v>3095.6108219999996</v>
      </c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21">
        <f>SUM(H351:DL351)</f>
        <v>52808.152808100007</v>
      </c>
    </row>
    <row r="352" spans="1:117" x14ac:dyDescent="0.3">
      <c r="A352" s="12"/>
      <c r="B352" s="13"/>
      <c r="C352" s="13"/>
      <c r="D352" s="13"/>
      <c r="E352" s="13"/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5">
        <v>0.79663300000000004</v>
      </c>
      <c r="BG352" s="15">
        <v>1.3468000000000001E-2</v>
      </c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5">
        <v>5.3171999999999997E-2</v>
      </c>
      <c r="CR352" s="15">
        <v>7.9757999999999996E-2</v>
      </c>
      <c r="CS352" s="13"/>
      <c r="CT352" s="15">
        <v>5.697E-2</v>
      </c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6">
        <f>SUM(H352:DL352)</f>
        <v>1.0000010000000001</v>
      </c>
    </row>
    <row r="353" spans="1:117" x14ac:dyDescent="0.3">
      <c r="A353" s="17" t="s">
        <v>377</v>
      </c>
      <c r="B353" s="13" t="s">
        <v>378</v>
      </c>
      <c r="C353" s="13" t="s">
        <v>135</v>
      </c>
      <c r="D353" s="13">
        <v>15315.99</v>
      </c>
      <c r="E353" s="13">
        <f>8202.7091*B2</f>
        <v>8202.7091</v>
      </c>
      <c r="F353" s="13">
        <f>D353*E353</f>
        <v>125632610.548509</v>
      </c>
      <c r="G353" s="14">
        <f>F353/A1</f>
        <v>1.610698360553141E-3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8"/>
      <c r="BG353" s="18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8"/>
      <c r="CR353" s="18"/>
      <c r="CS353" s="13"/>
      <c r="CT353" s="18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9"/>
    </row>
    <row r="354" spans="1:117" x14ac:dyDescent="0.3">
      <c r="A354" s="12"/>
      <c r="B354" s="13"/>
      <c r="C354" s="13"/>
      <c r="D354" s="13"/>
      <c r="E354" s="13"/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20">
        <f>+$D353*BF352</f>
        <v>12201.22306167</v>
      </c>
      <c r="BG354" s="20">
        <f>+$D353*BG352</f>
        <v>206.27575332000001</v>
      </c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20">
        <f>+$D353*CQ352</f>
        <v>814.38182027999994</v>
      </c>
      <c r="CR354" s="20">
        <f>+$D353*CR352</f>
        <v>1221.57273042</v>
      </c>
      <c r="CS354" s="13"/>
      <c r="CT354" s="20">
        <f>+$D353*CT352</f>
        <v>872.55195029999993</v>
      </c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21">
        <f>SUM(H354:DL354)</f>
        <v>15316.005315989998</v>
      </c>
    </row>
    <row r="355" spans="1:117" x14ac:dyDescent="0.3">
      <c r="A355" s="12"/>
      <c r="B355" s="13"/>
      <c r="C355" s="13"/>
      <c r="D355" s="13"/>
      <c r="E355" s="13"/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5">
        <v>4.0793999999999997E-2</v>
      </c>
      <c r="BH355" s="15">
        <v>0.88751599999999997</v>
      </c>
      <c r="BI355" s="15">
        <v>5.3848E-2</v>
      </c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5">
        <v>1.2489E-2</v>
      </c>
      <c r="CX355" s="13"/>
      <c r="CY355" s="15">
        <v>5.3530000000000001E-3</v>
      </c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6">
        <f>SUM(H355:DL355)</f>
        <v>1</v>
      </c>
    </row>
    <row r="356" spans="1:117" x14ac:dyDescent="0.3">
      <c r="A356" s="17" t="s">
        <v>379</v>
      </c>
      <c r="B356" s="13" t="s">
        <v>380</v>
      </c>
      <c r="C356" s="13" t="s">
        <v>135</v>
      </c>
      <c r="D356" s="13">
        <v>12129.42</v>
      </c>
      <c r="E356" s="13">
        <f>8352.1688*B2</f>
        <v>8352.1687999999995</v>
      </c>
      <c r="F356" s="13">
        <f>D356*E356</f>
        <v>101306963.28609599</v>
      </c>
      <c r="G356" s="14">
        <f>F356/A1</f>
        <v>1.2988264668314545E-3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8"/>
      <c r="BH356" s="18"/>
      <c r="BI356" s="18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8"/>
      <c r="CX356" s="13"/>
      <c r="CY356" s="18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9"/>
    </row>
    <row r="357" spans="1:117" x14ac:dyDescent="0.3">
      <c r="A357" s="12"/>
      <c r="B357" s="13"/>
      <c r="C357" s="13"/>
      <c r="D357" s="13"/>
      <c r="E357" s="13"/>
      <c r="F357" s="13"/>
      <c r="G357" s="1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20">
        <f>+$D356*BG355</f>
        <v>494.80755947999995</v>
      </c>
      <c r="BH357" s="20">
        <f>+$D356*BH355</f>
        <v>10765.054320719999</v>
      </c>
      <c r="BI357" s="20">
        <f>+$D356*BI355</f>
        <v>653.14500815999997</v>
      </c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20">
        <f>+$D356*CW355</f>
        <v>151.48432638</v>
      </c>
      <c r="CX357" s="13"/>
      <c r="CY357" s="20">
        <f>+$D356*CY355</f>
        <v>64.928785259999998</v>
      </c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21">
        <f>SUM(H357:DL357)</f>
        <v>12129.419999999996</v>
      </c>
    </row>
    <row r="358" spans="1:117" x14ac:dyDescent="0.3">
      <c r="A358" s="8" t="s">
        <v>381</v>
      </c>
      <c r="B358" s="9" t="s">
        <v>382</v>
      </c>
      <c r="C358" s="9"/>
      <c r="D358" s="9"/>
      <c r="E358" s="9"/>
      <c r="F358" s="9"/>
      <c r="G358" s="1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11"/>
    </row>
    <row r="359" spans="1:117" x14ac:dyDescent="0.3">
      <c r="A359" s="12"/>
      <c r="B359" s="13"/>
      <c r="C359" s="13"/>
      <c r="D359" s="13"/>
      <c r="E359" s="13"/>
      <c r="F359" s="13"/>
      <c r="G359" s="1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5">
        <v>0.61073100000000002</v>
      </c>
      <c r="BG359" s="15">
        <v>1.918E-3</v>
      </c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5">
        <v>3.7721999999999999E-2</v>
      </c>
      <c r="CL359" s="15">
        <v>0.135573</v>
      </c>
      <c r="CM359" s="15">
        <v>0.15595300000000001</v>
      </c>
      <c r="CN359" s="15">
        <v>5.8103000000000002E-2</v>
      </c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6">
        <f>SUM(H359:DL359)</f>
        <v>1</v>
      </c>
    </row>
    <row r="360" spans="1:117" x14ac:dyDescent="0.3">
      <c r="A360" s="17" t="s">
        <v>383</v>
      </c>
      <c r="B360" s="13" t="s">
        <v>384</v>
      </c>
      <c r="C360" s="13" t="s">
        <v>135</v>
      </c>
      <c r="D360" s="13">
        <v>1060.3800000000001</v>
      </c>
      <c r="E360" s="13">
        <f>139390.4458*B2</f>
        <v>139390.44579999999</v>
      </c>
      <c r="F360" s="13">
        <f>D360*E360</f>
        <v>147806840.917404</v>
      </c>
      <c r="G360" s="14">
        <f>F360/A1</f>
        <v>1.8949875777060097E-3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8"/>
      <c r="BG360" s="18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8"/>
      <c r="CL360" s="18"/>
      <c r="CM360" s="18"/>
      <c r="CN360" s="18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9"/>
    </row>
    <row r="361" spans="1:117" x14ac:dyDescent="0.3">
      <c r="A361" s="12"/>
      <c r="B361" s="13"/>
      <c r="C361" s="13"/>
      <c r="D361" s="13"/>
      <c r="E361" s="13"/>
      <c r="F361" s="13"/>
      <c r="G361" s="1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20">
        <f>+$D360*BF359</f>
        <v>647.60693778000007</v>
      </c>
      <c r="BG361" s="20">
        <f>+$D360*BG359</f>
        <v>2.0338088400000003</v>
      </c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20">
        <f>+$D360*CK359</f>
        <v>39.999654360000001</v>
      </c>
      <c r="CL361" s="20">
        <f>+$D360*CL359</f>
        <v>143.75889774000001</v>
      </c>
      <c r="CM361" s="20">
        <f>+$D360*CM359</f>
        <v>165.36944214000002</v>
      </c>
      <c r="CN361" s="20">
        <f>+$D360*CN359</f>
        <v>61.611259140000008</v>
      </c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21">
        <f>SUM(H361:DL361)</f>
        <v>1060.3800000000001</v>
      </c>
    </row>
    <row r="362" spans="1:117" x14ac:dyDescent="0.3">
      <c r="A362" s="12"/>
      <c r="B362" s="13"/>
      <c r="C362" s="13"/>
      <c r="D362" s="13"/>
      <c r="E362" s="13"/>
      <c r="F362" s="13"/>
      <c r="G362" s="1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5">
        <v>0.94329799999999997</v>
      </c>
      <c r="BG362" s="15">
        <v>5.6702000000000002E-2</v>
      </c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6">
        <f>SUM(H362:DL362)</f>
        <v>1</v>
      </c>
    </row>
    <row r="363" spans="1:117" x14ac:dyDescent="0.3">
      <c r="A363" s="17" t="s">
        <v>385</v>
      </c>
      <c r="B363" s="13" t="s">
        <v>386</v>
      </c>
      <c r="C363" s="13" t="s">
        <v>135</v>
      </c>
      <c r="D363" s="13">
        <v>269.01</v>
      </c>
      <c r="E363" s="13">
        <f>139390.4458*B2</f>
        <v>139390.44579999999</v>
      </c>
      <c r="F363" s="13">
        <f>D363*E363</f>
        <v>37497423.824657992</v>
      </c>
      <c r="G363" s="14">
        <f>F363/A1</f>
        <v>4.8074332624030398E-4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8"/>
      <c r="BG363" s="18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9"/>
    </row>
    <row r="364" spans="1:117" x14ac:dyDescent="0.3">
      <c r="A364" s="12"/>
      <c r="B364" s="13"/>
      <c r="C364" s="13"/>
      <c r="D364" s="13"/>
      <c r="E364" s="13"/>
      <c r="F364" s="13"/>
      <c r="G364" s="1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20">
        <f>+$D363*BF362</f>
        <v>253.75659497999999</v>
      </c>
      <c r="BG364" s="20">
        <f>+$D363*BG362</f>
        <v>15.253405020000001</v>
      </c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21">
        <f>SUM(H364:DL364)</f>
        <v>269.01</v>
      </c>
    </row>
    <row r="365" spans="1:117" x14ac:dyDescent="0.3">
      <c r="A365" s="12"/>
      <c r="B365" s="13"/>
      <c r="C365" s="13"/>
      <c r="D365" s="13"/>
      <c r="E365" s="13"/>
      <c r="F365" s="13"/>
      <c r="G365" s="1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5">
        <v>0.79081599999999996</v>
      </c>
      <c r="BI365" s="15">
        <v>0.20918400000000001</v>
      </c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6">
        <f>SUM(H365:DL365)</f>
        <v>1</v>
      </c>
    </row>
    <row r="366" spans="1:117" x14ac:dyDescent="0.3">
      <c r="A366" s="17" t="s">
        <v>387</v>
      </c>
      <c r="B366" s="13" t="s">
        <v>388</v>
      </c>
      <c r="C366" s="13" t="s">
        <v>135</v>
      </c>
      <c r="D366" s="13">
        <v>239.12</v>
      </c>
      <c r="E366" s="13">
        <f>139390.4458*B2</f>
        <v>139390.44579999999</v>
      </c>
      <c r="F366" s="13">
        <f>D366*E366</f>
        <v>33331043.399695996</v>
      </c>
      <c r="G366" s="14">
        <f>F366/A1</f>
        <v>4.273274011024925E-4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8"/>
      <c r="BI366" s="18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9"/>
    </row>
    <row r="367" spans="1:117" x14ac:dyDescent="0.3">
      <c r="A367" s="12"/>
      <c r="B367" s="13"/>
      <c r="C367" s="13"/>
      <c r="D367" s="13"/>
      <c r="E367" s="13"/>
      <c r="F367" s="13"/>
      <c r="G367" s="1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20">
        <f>+$D366*BH365</f>
        <v>189.09992191999999</v>
      </c>
      <c r="BI367" s="20">
        <f>+$D366*BI365</f>
        <v>50.020078080000005</v>
      </c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21">
        <f>SUM(H367:DL367)</f>
        <v>239.12</v>
      </c>
    </row>
    <row r="368" spans="1:117" x14ac:dyDescent="0.3">
      <c r="A368" s="8" t="s">
        <v>389</v>
      </c>
      <c r="B368" s="9" t="s">
        <v>390</v>
      </c>
      <c r="C368" s="9"/>
      <c r="D368" s="9"/>
      <c r="E368" s="9"/>
      <c r="F368" s="9"/>
      <c r="G368" s="1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11"/>
    </row>
    <row r="369" spans="1:117" x14ac:dyDescent="0.3">
      <c r="A369" s="12"/>
      <c r="B369" s="13"/>
      <c r="C369" s="13"/>
      <c r="D369" s="13"/>
      <c r="E369" s="13"/>
      <c r="F369" s="13"/>
      <c r="G369" s="1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5">
        <v>0.60114299999999998</v>
      </c>
      <c r="BG369" s="15">
        <v>1.918E-3</v>
      </c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5">
        <v>3.8351000000000003E-2</v>
      </c>
      <c r="CL369" s="15">
        <v>0.158776</v>
      </c>
      <c r="CM369" s="15">
        <v>0.158776</v>
      </c>
      <c r="CN369" s="15">
        <v>4.1036000000000003E-2</v>
      </c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6">
        <f>SUM(H369:DL369)</f>
        <v>1</v>
      </c>
    </row>
    <row r="370" spans="1:117" x14ac:dyDescent="0.3">
      <c r="A370" s="17" t="s">
        <v>391</v>
      </c>
      <c r="B370" s="13" t="s">
        <v>392</v>
      </c>
      <c r="C370" s="13" t="s">
        <v>126</v>
      </c>
      <c r="D370" s="13">
        <v>5215</v>
      </c>
      <c r="E370" s="13">
        <f>179987.2016*B2</f>
        <v>179987.2016</v>
      </c>
      <c r="F370" s="13">
        <f>D370*E370</f>
        <v>938633256.34399998</v>
      </c>
      <c r="G370" s="14">
        <f>F370/A1</f>
        <v>1.2033938008238574E-2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8"/>
      <c r="BG370" s="18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8"/>
      <c r="CL370" s="18"/>
      <c r="CM370" s="18"/>
      <c r="CN370" s="18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9"/>
    </row>
    <row r="371" spans="1:117" x14ac:dyDescent="0.3">
      <c r="A371" s="12"/>
      <c r="B371" s="13"/>
      <c r="C371" s="13"/>
      <c r="D371" s="13"/>
      <c r="E371" s="13"/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20">
        <f>+$D370*BF369</f>
        <v>3134.9607449999999</v>
      </c>
      <c r="BG371" s="20">
        <f>+$D370*BG369</f>
        <v>10.002370000000001</v>
      </c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20">
        <f>+$D370*CK369</f>
        <v>200.00046500000002</v>
      </c>
      <c r="CL371" s="20">
        <f>+$D370*CL369</f>
        <v>828.01684</v>
      </c>
      <c r="CM371" s="20">
        <f>+$D370*CM369</f>
        <v>828.01684</v>
      </c>
      <c r="CN371" s="20">
        <f>+$D370*CN369</f>
        <v>214.00274000000002</v>
      </c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21">
        <f>SUM(H371:DL371)</f>
        <v>5215</v>
      </c>
    </row>
    <row r="372" spans="1:117" x14ac:dyDescent="0.3">
      <c r="A372" s="12"/>
      <c r="B372" s="13"/>
      <c r="C372" s="13"/>
      <c r="D372" s="13"/>
      <c r="E372" s="13"/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5">
        <v>0.94331100000000001</v>
      </c>
      <c r="BG372" s="15">
        <v>5.6689000000000003E-2</v>
      </c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6">
        <f>SUM(H372:DL372)</f>
        <v>1</v>
      </c>
    </row>
    <row r="373" spans="1:117" x14ac:dyDescent="0.3">
      <c r="A373" s="17" t="s">
        <v>393</v>
      </c>
      <c r="B373" s="13" t="s">
        <v>394</v>
      </c>
      <c r="C373" s="13" t="s">
        <v>126</v>
      </c>
      <c r="D373" s="13">
        <v>1323</v>
      </c>
      <c r="E373" s="13">
        <f>187802.1066*B2</f>
        <v>187802.1066</v>
      </c>
      <c r="F373" s="13">
        <f>D373*E373</f>
        <v>248462187.0318</v>
      </c>
      <c r="G373" s="14">
        <f>F373/A1</f>
        <v>3.1854598544463477E-3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8"/>
      <c r="BG373" s="18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9"/>
    </row>
    <row r="374" spans="1:117" x14ac:dyDescent="0.3">
      <c r="A374" s="12"/>
      <c r="B374" s="13"/>
      <c r="C374" s="13"/>
      <c r="D374" s="13"/>
      <c r="E374" s="13"/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20">
        <f>+$D373*BF372</f>
        <v>1248.0004530000001</v>
      </c>
      <c r="BG374" s="20">
        <f>+$D373*BG372</f>
        <v>74.999547000000007</v>
      </c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21">
        <f>SUM(H374:DL374)</f>
        <v>1323</v>
      </c>
    </row>
    <row r="375" spans="1:117" x14ac:dyDescent="0.3">
      <c r="A375" s="12"/>
      <c r="B375" s="13"/>
      <c r="C375" s="13"/>
      <c r="D375" s="13"/>
      <c r="E375" s="13"/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5">
        <v>0.45918399999999998</v>
      </c>
      <c r="BI375" s="15">
        <v>0.32789099999999999</v>
      </c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5">
        <v>0.14904800000000001</v>
      </c>
      <c r="CX375" s="13"/>
      <c r="CY375" s="15">
        <v>6.3877000000000003E-2</v>
      </c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6">
        <f>SUM(H375:DL375)</f>
        <v>1</v>
      </c>
    </row>
    <row r="376" spans="1:117" x14ac:dyDescent="0.3">
      <c r="A376" s="17" t="s">
        <v>395</v>
      </c>
      <c r="B376" s="13" t="s">
        <v>396</v>
      </c>
      <c r="C376" s="13" t="s">
        <v>126</v>
      </c>
      <c r="D376" s="13">
        <v>1176</v>
      </c>
      <c r="E376" s="13">
        <f>187802.1066*B2</f>
        <v>187802.1066</v>
      </c>
      <c r="F376" s="13">
        <f>D376*E376</f>
        <v>220855277.36160001</v>
      </c>
      <c r="G376" s="14">
        <f>F376/A1</f>
        <v>2.831519870618976E-3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8"/>
      <c r="BI376" s="18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8"/>
      <c r="CX376" s="13"/>
      <c r="CY376" s="18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9"/>
    </row>
    <row r="377" spans="1:117" x14ac:dyDescent="0.3">
      <c r="A377" s="12"/>
      <c r="B377" s="13"/>
      <c r="C377" s="13"/>
      <c r="D377" s="13"/>
      <c r="E377" s="13"/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20">
        <f>+$D376*BH375</f>
        <v>540.00038399999994</v>
      </c>
      <c r="BI377" s="20">
        <f>+$D376*BI375</f>
        <v>385.59981599999998</v>
      </c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20">
        <f>+$D376*CW375</f>
        <v>175.28044800000001</v>
      </c>
      <c r="CX377" s="13"/>
      <c r="CY377" s="20">
        <f>+$D376*CY375</f>
        <v>75.119352000000006</v>
      </c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21">
        <f>SUM(H377:DL377)</f>
        <v>1175.9999999999998</v>
      </c>
    </row>
    <row r="378" spans="1:117" x14ac:dyDescent="0.3">
      <c r="A378" s="12"/>
      <c r="B378" s="13"/>
      <c r="C378" s="13"/>
      <c r="D378" s="13"/>
      <c r="E378" s="13"/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5">
        <v>0.7</v>
      </c>
      <c r="CX378" s="13"/>
      <c r="CY378" s="15">
        <v>0.3</v>
      </c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6">
        <f>SUM(H378:DL378)</f>
        <v>1</v>
      </c>
    </row>
    <row r="379" spans="1:117" x14ac:dyDescent="0.3">
      <c r="A379" s="17" t="s">
        <v>397</v>
      </c>
      <c r="B379" s="13" t="s">
        <v>398</v>
      </c>
      <c r="C379" s="13" t="s">
        <v>364</v>
      </c>
      <c r="D379" s="13">
        <v>1</v>
      </c>
      <c r="E379" s="13">
        <f>121076797.4901*B2</f>
        <v>121076797.4901</v>
      </c>
      <c r="F379" s="13">
        <f>D379*E379</f>
        <v>121076797.4901</v>
      </c>
      <c r="G379" s="14">
        <f>F379/A1</f>
        <v>1.5522896353652438E-3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8"/>
      <c r="CX379" s="13"/>
      <c r="CY379" s="18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9"/>
    </row>
    <row r="380" spans="1:117" x14ac:dyDescent="0.3">
      <c r="A380" s="12"/>
      <c r="B380" s="13"/>
      <c r="C380" s="13"/>
      <c r="D380" s="13"/>
      <c r="E380" s="13"/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20">
        <f>+$D379*CW378</f>
        <v>0.7</v>
      </c>
      <c r="CX380" s="13"/>
      <c r="CY380" s="20">
        <f>+$D379*CY378</f>
        <v>0.3</v>
      </c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21">
        <f>SUM(H380:DL380)</f>
        <v>1</v>
      </c>
    </row>
    <row r="381" spans="1:117" x14ac:dyDescent="0.3">
      <c r="A381" s="12"/>
      <c r="B381" s="13"/>
      <c r="C381" s="13"/>
      <c r="D381" s="13"/>
      <c r="E381" s="13"/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5">
        <v>0.16470599999999999</v>
      </c>
      <c r="CN381" s="15">
        <v>4.1175999999999997E-2</v>
      </c>
      <c r="CO381" s="13"/>
      <c r="CP381" s="15">
        <v>8.8234999999999994E-2</v>
      </c>
      <c r="CQ381" s="15">
        <v>8.2352999999999996E-2</v>
      </c>
      <c r="CR381" s="15">
        <v>4.1175999999999997E-2</v>
      </c>
      <c r="CS381" s="13"/>
      <c r="CT381" s="15">
        <v>0.258824</v>
      </c>
      <c r="CU381" s="13"/>
      <c r="CV381" s="15">
        <v>8.8234999999999994E-2</v>
      </c>
      <c r="CW381" s="15">
        <v>8.2352999999999996E-2</v>
      </c>
      <c r="CX381" s="13"/>
      <c r="CY381" s="15">
        <v>3.5295E-2</v>
      </c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5">
        <v>0.117647</v>
      </c>
      <c r="DM381" s="16">
        <f>SUM(H381:DL381)</f>
        <v>0.99999999999999978</v>
      </c>
    </row>
    <row r="382" spans="1:117" x14ac:dyDescent="0.3">
      <c r="A382" s="17" t="s">
        <v>399</v>
      </c>
      <c r="B382" s="13" t="s">
        <v>400</v>
      </c>
      <c r="C382" s="13" t="s">
        <v>364</v>
      </c>
      <c r="D382" s="13">
        <v>17</v>
      </c>
      <c r="E382" s="13">
        <f>15447197.0227*B2</f>
        <v>15447197.022700001</v>
      </c>
      <c r="F382" s="13">
        <f>D382*E382</f>
        <v>262602349.38590002</v>
      </c>
      <c r="G382" s="14">
        <f>F382/A1</f>
        <v>3.3667466733882344E-3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8"/>
      <c r="CN382" s="18"/>
      <c r="CO382" s="13"/>
      <c r="CP382" s="18"/>
      <c r="CQ382" s="18"/>
      <c r="CR382" s="18"/>
      <c r="CS382" s="13"/>
      <c r="CT382" s="18"/>
      <c r="CU382" s="13"/>
      <c r="CV382" s="18"/>
      <c r="CW382" s="18"/>
      <c r="CX382" s="13"/>
      <c r="CY382" s="18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8"/>
      <c r="DM382" s="19"/>
    </row>
    <row r="383" spans="1:117" x14ac:dyDescent="0.3">
      <c r="A383" s="12"/>
      <c r="B383" s="13"/>
      <c r="C383" s="13"/>
      <c r="D383" s="13"/>
      <c r="E383" s="13"/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20">
        <f>+$D382*CM381</f>
        <v>2.8000019999999997</v>
      </c>
      <c r="CN383" s="20">
        <f>+$D382*CN381</f>
        <v>0.69999199999999995</v>
      </c>
      <c r="CO383" s="13"/>
      <c r="CP383" s="20">
        <f>+$D382*CP381</f>
        <v>1.499995</v>
      </c>
      <c r="CQ383" s="20">
        <f>+$D382*CQ381</f>
        <v>1.4000009999999998</v>
      </c>
      <c r="CR383" s="20">
        <f>+$D382*CR381</f>
        <v>0.69999199999999995</v>
      </c>
      <c r="CS383" s="13"/>
      <c r="CT383" s="20">
        <f>+$D382*CT381</f>
        <v>4.4000079999999997</v>
      </c>
      <c r="CU383" s="13"/>
      <c r="CV383" s="20">
        <f>+$D382*CV381</f>
        <v>1.499995</v>
      </c>
      <c r="CW383" s="20">
        <f>+$D382*CW381</f>
        <v>1.4000009999999998</v>
      </c>
      <c r="CX383" s="13"/>
      <c r="CY383" s="20">
        <f>+$D382*CY381</f>
        <v>0.60001499999999997</v>
      </c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20">
        <f>+$D382*DL381</f>
        <v>1.9999990000000001</v>
      </c>
      <c r="DM383" s="21">
        <f>SUM(H383:DL383)</f>
        <v>16.999999999999996</v>
      </c>
    </row>
    <row r="384" spans="1:117" x14ac:dyDescent="0.3">
      <c r="A384" s="12"/>
      <c r="B384" s="13"/>
      <c r="C384" s="13"/>
      <c r="D384" s="13"/>
      <c r="E384" s="13"/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5">
        <v>0.23333300000000001</v>
      </c>
      <c r="CS384" s="13"/>
      <c r="CT384" s="15">
        <v>0.1</v>
      </c>
      <c r="CU384" s="15">
        <v>0.35</v>
      </c>
      <c r="CV384" s="13"/>
      <c r="CW384" s="15">
        <v>0.26666699999999999</v>
      </c>
      <c r="CX384" s="13"/>
      <c r="CY384" s="15">
        <v>0.05</v>
      </c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6">
        <f>SUM(H384:DL384)</f>
        <v>1</v>
      </c>
    </row>
    <row r="385" spans="1:117" x14ac:dyDescent="0.3">
      <c r="A385" s="17" t="s">
        <v>401</v>
      </c>
      <c r="B385" s="13" t="s">
        <v>402</v>
      </c>
      <c r="C385" s="13" t="s">
        <v>364</v>
      </c>
      <c r="D385" s="13">
        <v>6</v>
      </c>
      <c r="E385" s="13">
        <f>11283511.3225*B2</f>
        <v>11283511.3225</v>
      </c>
      <c r="F385" s="13">
        <f>D385*E385</f>
        <v>67701067.935000002</v>
      </c>
      <c r="G385" s="14">
        <f>F385/A1</f>
        <v>8.6797527054885729E-4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8"/>
      <c r="CS385" s="13"/>
      <c r="CT385" s="18"/>
      <c r="CU385" s="18"/>
      <c r="CV385" s="13"/>
      <c r="CW385" s="18"/>
      <c r="CX385" s="13"/>
      <c r="CY385" s="18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9"/>
    </row>
    <row r="386" spans="1:117" x14ac:dyDescent="0.3">
      <c r="A386" s="12"/>
      <c r="B386" s="13"/>
      <c r="C386" s="13"/>
      <c r="D386" s="13"/>
      <c r="E386" s="13"/>
      <c r="F386" s="13"/>
      <c r="G386" s="1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20">
        <f>+$D385*CR384</f>
        <v>1.3999980000000001</v>
      </c>
      <c r="CS386" s="13"/>
      <c r="CT386" s="20">
        <f>+$D385*CT384</f>
        <v>0.60000000000000009</v>
      </c>
      <c r="CU386" s="20">
        <f>+$D385*CU384</f>
        <v>2.0999999999999996</v>
      </c>
      <c r="CV386" s="13"/>
      <c r="CW386" s="20">
        <f>+$D385*CW384</f>
        <v>1.6000019999999999</v>
      </c>
      <c r="CX386" s="13"/>
      <c r="CY386" s="20">
        <f>+$D385*CY384</f>
        <v>0.30000000000000004</v>
      </c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21">
        <f>SUM(H386:DL386)</f>
        <v>5.9999999999999991</v>
      </c>
    </row>
    <row r="387" spans="1:117" x14ac:dyDescent="0.3">
      <c r="A387" s="12"/>
      <c r="B387" s="13"/>
      <c r="C387" s="13"/>
      <c r="D387" s="13"/>
      <c r="E387" s="13"/>
      <c r="F387" s="13"/>
      <c r="G387" s="1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5">
        <v>0.33333299999999999</v>
      </c>
      <c r="DF387" s="13"/>
      <c r="DG387" s="15">
        <v>0.66666700000000001</v>
      </c>
      <c r="DH387" s="13"/>
      <c r="DI387" s="13"/>
      <c r="DJ387" s="13"/>
      <c r="DK387" s="13"/>
      <c r="DL387" s="13"/>
      <c r="DM387" s="16">
        <f>SUM(H387:DL387)</f>
        <v>1</v>
      </c>
    </row>
    <row r="388" spans="1:117" x14ac:dyDescent="0.3">
      <c r="A388" s="17" t="s">
        <v>403</v>
      </c>
      <c r="B388" s="13" t="s">
        <v>404</v>
      </c>
      <c r="C388" s="13" t="s">
        <v>364</v>
      </c>
      <c r="D388" s="13">
        <v>3</v>
      </c>
      <c r="E388" s="13">
        <f>10406058.1597*B2</f>
        <v>10406058.159700001</v>
      </c>
      <c r="F388" s="13">
        <f>D388*E388</f>
        <v>31218174.479100004</v>
      </c>
      <c r="G388" s="14">
        <f>F388/A1</f>
        <v>4.0023893663765819E-4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8"/>
      <c r="DF388" s="13"/>
      <c r="DG388" s="18"/>
      <c r="DH388" s="13"/>
      <c r="DI388" s="13"/>
      <c r="DJ388" s="13"/>
      <c r="DK388" s="13"/>
      <c r="DL388" s="13"/>
      <c r="DM388" s="19"/>
    </row>
    <row r="389" spans="1:117" x14ac:dyDescent="0.3">
      <c r="A389" s="12"/>
      <c r="B389" s="13"/>
      <c r="C389" s="13"/>
      <c r="D389" s="13"/>
      <c r="E389" s="13"/>
      <c r="F389" s="13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20">
        <f>+$D388*DE387</f>
        <v>0.99999899999999997</v>
      </c>
      <c r="DF389" s="13"/>
      <c r="DG389" s="20">
        <f>+$D388*DG387</f>
        <v>2.0000010000000001</v>
      </c>
      <c r="DH389" s="13"/>
      <c r="DI389" s="13"/>
      <c r="DJ389" s="13"/>
      <c r="DK389" s="13"/>
      <c r="DL389" s="13"/>
      <c r="DM389" s="21">
        <f>SUM(H389:DL389)</f>
        <v>3</v>
      </c>
    </row>
    <row r="390" spans="1:117" x14ac:dyDescent="0.3">
      <c r="A390" s="12"/>
      <c r="B390" s="13"/>
      <c r="C390" s="13"/>
      <c r="D390" s="13"/>
      <c r="E390" s="13"/>
      <c r="F390" s="13"/>
      <c r="G390" s="1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6">
        <f>SUM(H390:DL390)</f>
        <v>0</v>
      </c>
    </row>
    <row r="391" spans="1:117" x14ac:dyDescent="0.3">
      <c r="A391" s="17" t="s">
        <v>405</v>
      </c>
      <c r="B391" s="13" t="s">
        <v>406</v>
      </c>
      <c r="C391" s="13" t="s">
        <v>364</v>
      </c>
      <c r="D391" s="13">
        <v>0</v>
      </c>
      <c r="E391" s="13">
        <f>31851195.8311*B2</f>
        <v>31851195.831099998</v>
      </c>
      <c r="F391" s="13">
        <f>D391*E391</f>
        <v>0</v>
      </c>
      <c r="G391" s="14">
        <f>F391/A1</f>
        <v>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9"/>
    </row>
    <row r="392" spans="1:117" x14ac:dyDescent="0.3">
      <c r="A392" s="12"/>
      <c r="B392" s="13"/>
      <c r="C392" s="13"/>
      <c r="D392" s="13"/>
      <c r="E392" s="13"/>
      <c r="F392" s="13"/>
      <c r="G392" s="1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21">
        <f>SUM(H392:DL392)</f>
        <v>0</v>
      </c>
    </row>
    <row r="393" spans="1:117" x14ac:dyDescent="0.3">
      <c r="A393" s="12"/>
      <c r="B393" s="13"/>
      <c r="C393" s="13"/>
      <c r="D393" s="13"/>
      <c r="E393" s="13"/>
      <c r="F393" s="13"/>
      <c r="G393" s="1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5">
        <v>0.5</v>
      </c>
      <c r="DJ393" s="15">
        <v>0.5</v>
      </c>
      <c r="DK393" s="13"/>
      <c r="DL393" s="13"/>
      <c r="DM393" s="16">
        <f>SUM(H393:DL393)</f>
        <v>1</v>
      </c>
    </row>
    <row r="394" spans="1:117" x14ac:dyDescent="0.3">
      <c r="A394" s="17" t="s">
        <v>407</v>
      </c>
      <c r="B394" s="13" t="s">
        <v>408</v>
      </c>
      <c r="C394" s="13" t="s">
        <v>364</v>
      </c>
      <c r="D394" s="13">
        <v>1</v>
      </c>
      <c r="E394" s="13">
        <f>55247461.8811*B2</f>
        <v>55247461.881099999</v>
      </c>
      <c r="F394" s="13">
        <f>D394*E394</f>
        <v>55247461.881099999</v>
      </c>
      <c r="G394" s="14">
        <f>F394/A1</f>
        <v>7.0831128867015342E-4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8"/>
      <c r="DJ394" s="18"/>
      <c r="DK394" s="13"/>
      <c r="DL394" s="13"/>
      <c r="DM394" s="19"/>
    </row>
    <row r="395" spans="1:117" x14ac:dyDescent="0.3">
      <c r="A395" s="12"/>
      <c r="B395" s="13"/>
      <c r="C395" s="13"/>
      <c r="D395" s="13"/>
      <c r="E395" s="13"/>
      <c r="F395" s="13"/>
      <c r="G395" s="1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20">
        <f>+$D394*DI393</f>
        <v>0.5</v>
      </c>
      <c r="DJ395" s="20">
        <f>+$D394*DJ393</f>
        <v>0.5</v>
      </c>
      <c r="DK395" s="13"/>
      <c r="DL395" s="13"/>
      <c r="DM395" s="21">
        <f>SUM(H395:DL395)</f>
        <v>1</v>
      </c>
    </row>
    <row r="396" spans="1:117" x14ac:dyDescent="0.3">
      <c r="A396" s="12"/>
      <c r="B396" s="13"/>
      <c r="C396" s="13"/>
      <c r="D396" s="13"/>
      <c r="E396" s="13"/>
      <c r="F396" s="13"/>
      <c r="G396" s="1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5">
        <v>0.779918</v>
      </c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5">
        <v>0.220082</v>
      </c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6">
        <f>SUM(H396:DL396)</f>
        <v>1</v>
      </c>
    </row>
    <row r="397" spans="1:117" x14ac:dyDescent="0.3">
      <c r="A397" s="17" t="s">
        <v>409</v>
      </c>
      <c r="B397" s="13" t="s">
        <v>410</v>
      </c>
      <c r="C397" s="13" t="s">
        <v>364</v>
      </c>
      <c r="D397" s="13">
        <v>1</v>
      </c>
      <c r="E397" s="13">
        <f>569374443.7119*B2</f>
        <v>569374443.7119</v>
      </c>
      <c r="F397" s="13">
        <f>D397*E397</f>
        <v>569374443.7119</v>
      </c>
      <c r="G397" s="14">
        <f>F397/A1</f>
        <v>7.2997805189561745E-3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8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8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9"/>
    </row>
    <row r="398" spans="1:117" x14ac:dyDescent="0.3">
      <c r="A398" s="12"/>
      <c r="B398" s="13"/>
      <c r="C398" s="13"/>
      <c r="D398" s="13"/>
      <c r="E398" s="13"/>
      <c r="F398" s="13"/>
      <c r="G398" s="1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20">
        <f>+$D397*BF396</f>
        <v>0.779918</v>
      </c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20">
        <f>+$D397*CP396</f>
        <v>0.220082</v>
      </c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21">
        <f>SUM(H398:DL398)</f>
        <v>1</v>
      </c>
    </row>
    <row r="399" spans="1:117" x14ac:dyDescent="0.3">
      <c r="A399" s="8" t="s">
        <v>411</v>
      </c>
      <c r="B399" s="9" t="s">
        <v>412</v>
      </c>
      <c r="C399" s="9"/>
      <c r="D399" s="9"/>
      <c r="E399" s="9"/>
      <c r="F399" s="9"/>
      <c r="G399" s="1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11"/>
    </row>
    <row r="400" spans="1:117" x14ac:dyDescent="0.3">
      <c r="A400" s="12"/>
      <c r="B400" s="13"/>
      <c r="C400" s="13"/>
      <c r="D400" s="13"/>
      <c r="E400" s="13"/>
      <c r="F400" s="13"/>
      <c r="G400" s="1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5">
        <v>0.59397599999999995</v>
      </c>
      <c r="BG400" s="15">
        <v>1.954E-3</v>
      </c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5">
        <v>0.20203499999999999</v>
      </c>
      <c r="CN400" s="15">
        <v>0.20203399999999999</v>
      </c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6">
        <f>SUM(H400:DL400)</f>
        <v>0.99999899999999986</v>
      </c>
    </row>
    <row r="401" spans="1:117" x14ac:dyDescent="0.3">
      <c r="A401" s="17" t="s">
        <v>413</v>
      </c>
      <c r="B401" s="13" t="s">
        <v>414</v>
      </c>
      <c r="C401" s="13" t="s">
        <v>135</v>
      </c>
      <c r="D401" s="13">
        <v>16049.97</v>
      </c>
      <c r="E401" s="13">
        <f>27762.8231*B2</f>
        <v>27762.823100000001</v>
      </c>
      <c r="F401" s="13">
        <f>D401*E401</f>
        <v>445592477.87030703</v>
      </c>
      <c r="G401" s="14">
        <f>F401/A1</f>
        <v>5.71280872415998E-3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8"/>
      <c r="BG401" s="18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8"/>
      <c r="CN401" s="18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9"/>
    </row>
    <row r="402" spans="1:117" x14ac:dyDescent="0.3">
      <c r="A402" s="12"/>
      <c r="B402" s="13"/>
      <c r="C402" s="13"/>
      <c r="D402" s="13"/>
      <c r="E402" s="13"/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20">
        <f>+$D401*BF400</f>
        <v>9533.2969807199988</v>
      </c>
      <c r="BG402" s="20">
        <f>+$D401*BG400</f>
        <v>31.361641379999998</v>
      </c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20">
        <f>+$D401*CM400</f>
        <v>3242.6556889499998</v>
      </c>
      <c r="CN402" s="20">
        <f>+$D401*CN400</f>
        <v>3242.6396389799997</v>
      </c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21">
        <f>SUM(H402:DL402)</f>
        <v>16049.953950029998</v>
      </c>
    </row>
    <row r="403" spans="1:117" x14ac:dyDescent="0.3">
      <c r="A403" s="12"/>
      <c r="B403" s="13"/>
      <c r="C403" s="13"/>
      <c r="D403" s="13"/>
      <c r="E403" s="13"/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5">
        <v>0.79213900000000004</v>
      </c>
      <c r="BG403" s="15">
        <v>0.15495100000000001</v>
      </c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5">
        <v>1.4815E-2</v>
      </c>
      <c r="CR403" s="15">
        <v>2.2221999999999999E-2</v>
      </c>
      <c r="CS403" s="13"/>
      <c r="CT403" s="15">
        <v>1.5873000000000002E-2</v>
      </c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6">
        <f>SUM(H403:DL403)</f>
        <v>1</v>
      </c>
    </row>
    <row r="404" spans="1:117" x14ac:dyDescent="0.3">
      <c r="A404" s="17" t="s">
        <v>415</v>
      </c>
      <c r="B404" s="13" t="s">
        <v>416</v>
      </c>
      <c r="C404" s="13" t="s">
        <v>135</v>
      </c>
      <c r="D404" s="13">
        <v>3912.27</v>
      </c>
      <c r="E404" s="13">
        <f>27414.451*B2</f>
        <v>27414.451000000001</v>
      </c>
      <c r="F404" s="13">
        <f>D404*E404</f>
        <v>107252734.21377</v>
      </c>
      <c r="G404" s="14">
        <f>F404/A1</f>
        <v>1.3750554287515863E-3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8"/>
      <c r="BG404" s="18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8"/>
      <c r="CR404" s="18"/>
      <c r="CS404" s="13"/>
      <c r="CT404" s="18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9"/>
    </row>
    <row r="405" spans="1:117" x14ac:dyDescent="0.3">
      <c r="A405" s="12"/>
      <c r="B405" s="13"/>
      <c r="C405" s="13"/>
      <c r="D405" s="13"/>
      <c r="E405" s="13"/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20">
        <f>+$D404*BF403</f>
        <v>3099.0616455300001</v>
      </c>
      <c r="BG405" s="20">
        <f>+$D404*BG403</f>
        <v>606.21014877000005</v>
      </c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20">
        <f>+$D404*CQ403</f>
        <v>57.960280050000001</v>
      </c>
      <c r="CR405" s="20">
        <f>+$D404*CR403</f>
        <v>86.938463939999991</v>
      </c>
      <c r="CS405" s="13"/>
      <c r="CT405" s="20">
        <f>+$D404*CT403</f>
        <v>62.099461710000007</v>
      </c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21">
        <f>SUM(H405:DL405)</f>
        <v>3912.2700000000004</v>
      </c>
    </row>
    <row r="406" spans="1:117" x14ac:dyDescent="0.3">
      <c r="A406" s="12"/>
      <c r="B406" s="13"/>
      <c r="C406" s="13"/>
      <c r="D406" s="13"/>
      <c r="E406" s="13"/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5">
        <v>0.183673</v>
      </c>
      <c r="BJ406" s="15">
        <v>0.58299299999999998</v>
      </c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5">
        <v>0.16333400000000001</v>
      </c>
      <c r="CX406" s="13"/>
      <c r="CY406" s="15">
        <v>7.0000000000000007E-2</v>
      </c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6">
        <f>SUM(H406:DL406)</f>
        <v>1</v>
      </c>
    </row>
    <row r="407" spans="1:117" x14ac:dyDescent="0.3">
      <c r="A407" s="17" t="s">
        <v>417</v>
      </c>
      <c r="B407" s="13" t="s">
        <v>418</v>
      </c>
      <c r="C407" s="13" t="s">
        <v>135</v>
      </c>
      <c r="D407" s="13">
        <v>3687.46</v>
      </c>
      <c r="E407" s="13">
        <f>27762.8231*B2</f>
        <v>27762.823100000001</v>
      </c>
      <c r="F407" s="13">
        <f>D407*E407</f>
        <v>102374299.66832601</v>
      </c>
      <c r="G407" s="14">
        <f>F407/A1</f>
        <v>1.3125104693647999E-3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8"/>
      <c r="BJ407" s="18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8"/>
      <c r="CX407" s="13"/>
      <c r="CY407" s="18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9"/>
    </row>
    <row r="408" spans="1:117" x14ac:dyDescent="0.3">
      <c r="A408" s="12"/>
      <c r="B408" s="13"/>
      <c r="C408" s="13"/>
      <c r="D408" s="13"/>
      <c r="E408" s="13"/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20">
        <f>+$D407*BI406</f>
        <v>677.28684057999999</v>
      </c>
      <c r="BJ408" s="20">
        <f>+$D407*BJ406</f>
        <v>2149.76336778</v>
      </c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20">
        <f>+$D407*CW406</f>
        <v>602.28759164000007</v>
      </c>
      <c r="CX408" s="13"/>
      <c r="CY408" s="20">
        <f>+$D407*CY406</f>
        <v>258.12220000000002</v>
      </c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21">
        <f>SUM(H408:DL408)</f>
        <v>3687.46</v>
      </c>
    </row>
    <row r="409" spans="1:117" x14ac:dyDescent="0.3">
      <c r="A409" s="8" t="s">
        <v>419</v>
      </c>
      <c r="B409" s="9" t="s">
        <v>420</v>
      </c>
      <c r="C409" s="9"/>
      <c r="D409" s="9"/>
      <c r="E409" s="9"/>
      <c r="F409" s="9"/>
      <c r="G409" s="1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11"/>
    </row>
    <row r="410" spans="1:117" x14ac:dyDescent="0.3">
      <c r="A410" s="12"/>
      <c r="B410" s="13"/>
      <c r="C410" s="13"/>
      <c r="D410" s="13"/>
      <c r="E410" s="13"/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5">
        <v>0.57130700000000001</v>
      </c>
      <c r="BG410" s="15">
        <v>3.424E-3</v>
      </c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5">
        <v>0.127581</v>
      </c>
      <c r="CM410" s="15">
        <v>0.21263399999999999</v>
      </c>
      <c r="CN410" s="15">
        <v>8.5054000000000005E-2</v>
      </c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6">
        <f>SUM(H410:DL410)</f>
        <v>1</v>
      </c>
    </row>
    <row r="411" spans="1:117" x14ac:dyDescent="0.3">
      <c r="A411" s="17" t="s">
        <v>421</v>
      </c>
      <c r="B411" s="13" t="s">
        <v>422</v>
      </c>
      <c r="C411" s="13" t="s">
        <v>135</v>
      </c>
      <c r="D411" s="13">
        <v>16217.91</v>
      </c>
      <c r="E411" s="13">
        <f>28090.6479*B2</f>
        <v>28090.6479</v>
      </c>
      <c r="F411" s="13">
        <f>D411*E411</f>
        <v>455571599.48388898</v>
      </c>
      <c r="G411" s="14">
        <f>F411/A1</f>
        <v>5.8407480764713022E-3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8"/>
      <c r="BG411" s="18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8"/>
      <c r="CM411" s="18"/>
      <c r="CN411" s="18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9"/>
    </row>
    <row r="412" spans="1:117" x14ac:dyDescent="0.3">
      <c r="A412" s="12"/>
      <c r="B412" s="13"/>
      <c r="C412" s="13"/>
      <c r="D412" s="13"/>
      <c r="E412" s="13"/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20">
        <f>+$D411*BF410</f>
        <v>9265.4055083700005</v>
      </c>
      <c r="BG412" s="20">
        <f>+$D411*BG410</f>
        <v>55.530123840000002</v>
      </c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20">
        <f>+$D411*CL410</f>
        <v>2069.0971757100001</v>
      </c>
      <c r="CM412" s="20">
        <f>+$D411*CM410</f>
        <v>3448.4790749399999</v>
      </c>
      <c r="CN412" s="20">
        <f>+$D411*CN410</f>
        <v>1379.3981171400001</v>
      </c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21">
        <f>SUM(H412:DL412)</f>
        <v>16217.91</v>
      </c>
    </row>
    <row r="413" spans="1:117" x14ac:dyDescent="0.3">
      <c r="A413" s="12"/>
      <c r="B413" s="13"/>
      <c r="C413" s="13"/>
      <c r="D413" s="13"/>
      <c r="E413" s="13"/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5">
        <v>0.81955900000000004</v>
      </c>
      <c r="BG413" s="15">
        <v>0.15443100000000001</v>
      </c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5">
        <v>7.2830000000000004E-3</v>
      </c>
      <c r="CR413" s="15">
        <v>1.0924E-2</v>
      </c>
      <c r="CS413" s="13"/>
      <c r="CT413" s="15">
        <v>7.803E-3</v>
      </c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6">
        <f>SUM(H413:DL413)</f>
        <v>1</v>
      </c>
    </row>
    <row r="414" spans="1:117" x14ac:dyDescent="0.3">
      <c r="A414" s="17" t="s">
        <v>423</v>
      </c>
      <c r="B414" s="13" t="s">
        <v>424</v>
      </c>
      <c r="C414" s="13" t="s">
        <v>135</v>
      </c>
      <c r="D414" s="13">
        <v>3716.99</v>
      </c>
      <c r="E414" s="13">
        <f>28251.529*B2</f>
        <v>28251.528999999999</v>
      </c>
      <c r="F414" s="13">
        <f>D414*E414</f>
        <v>105010650.77770999</v>
      </c>
      <c r="G414" s="14">
        <f>F414/A1</f>
        <v>1.3463103433878558E-3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8"/>
      <c r="BG414" s="18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8"/>
      <c r="CR414" s="18"/>
      <c r="CS414" s="13"/>
      <c r="CT414" s="18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9"/>
    </row>
    <row r="415" spans="1:117" x14ac:dyDescent="0.3">
      <c r="A415" s="12"/>
      <c r="B415" s="13"/>
      <c r="C415" s="13"/>
      <c r="D415" s="13"/>
      <c r="E415" s="13"/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20">
        <f>+$D414*BF413</f>
        <v>3046.2926074100001</v>
      </c>
      <c r="BG415" s="20">
        <f>+$D414*BG413</f>
        <v>574.01848269000004</v>
      </c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20">
        <f>+$D414*CQ413</f>
        <v>27.070838169999998</v>
      </c>
      <c r="CR415" s="20">
        <f>+$D414*CR413</f>
        <v>40.604398759999995</v>
      </c>
      <c r="CS415" s="13"/>
      <c r="CT415" s="20">
        <f>+$D414*CT413</f>
        <v>29.00367297</v>
      </c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21">
        <f>SUM(H415:DL415)</f>
        <v>3716.9900000000002</v>
      </c>
    </row>
    <row r="416" spans="1:117" x14ac:dyDescent="0.3">
      <c r="A416" s="12"/>
      <c r="B416" s="13"/>
      <c r="C416" s="13"/>
      <c r="D416" s="13"/>
      <c r="E416" s="13"/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5">
        <v>7.5625999999999999E-2</v>
      </c>
      <c r="BJ416" s="15">
        <v>0.42358600000000002</v>
      </c>
      <c r="BK416" s="15">
        <v>0.22648799999999999</v>
      </c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5">
        <v>0.19200999999999999</v>
      </c>
      <c r="CX416" s="13"/>
      <c r="CY416" s="15">
        <v>8.2290000000000002E-2</v>
      </c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6">
        <f>SUM(H416:DL416)</f>
        <v>1</v>
      </c>
    </row>
    <row r="417" spans="1:117" x14ac:dyDescent="0.3">
      <c r="A417" s="17" t="s">
        <v>425</v>
      </c>
      <c r="B417" s="13" t="s">
        <v>426</v>
      </c>
      <c r="C417" s="13" t="s">
        <v>135</v>
      </c>
      <c r="D417" s="13">
        <v>3628.55</v>
      </c>
      <c r="E417" s="13">
        <f>28090.6479*B2</f>
        <v>28090.6479</v>
      </c>
      <c r="F417" s="13">
        <f>D417*E417</f>
        <v>101928320.437545</v>
      </c>
      <c r="G417" s="14">
        <f>F417/A1</f>
        <v>1.3067927021965188E-3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8"/>
      <c r="BJ417" s="18"/>
      <c r="BK417" s="18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8"/>
      <c r="CX417" s="13"/>
      <c r="CY417" s="18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9"/>
    </row>
    <row r="418" spans="1:117" x14ac:dyDescent="0.3">
      <c r="A418" s="12"/>
      <c r="B418" s="13"/>
      <c r="C418" s="13"/>
      <c r="D418" s="13"/>
      <c r="E418" s="13"/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20">
        <f>+$D417*BI416</f>
        <v>274.41272229999998</v>
      </c>
      <c r="BJ418" s="20">
        <f>+$D417*BJ416</f>
        <v>1537.0029803000002</v>
      </c>
      <c r="BK418" s="20">
        <f>+$D417*BK416</f>
        <v>821.82303239999999</v>
      </c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20">
        <f>+$D417*CW416</f>
        <v>696.71788549999997</v>
      </c>
      <c r="CX418" s="13"/>
      <c r="CY418" s="20">
        <f>+$D417*CY416</f>
        <v>298.59337950000003</v>
      </c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21">
        <f>SUM(H418:DL418)</f>
        <v>3628.55</v>
      </c>
    </row>
    <row r="419" spans="1:117" x14ac:dyDescent="0.3">
      <c r="A419" s="12"/>
      <c r="B419" s="13"/>
      <c r="C419" s="13"/>
      <c r="D419" s="13"/>
      <c r="E419" s="13"/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5">
        <v>0.53458499999999998</v>
      </c>
      <c r="BG419" s="15">
        <v>2.4161999999999999E-2</v>
      </c>
      <c r="BH419" s="13"/>
      <c r="BI419" s="15">
        <v>1.248E-2</v>
      </c>
      <c r="BJ419" s="13"/>
      <c r="BK419" s="15">
        <v>0.10502599999999999</v>
      </c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5">
        <v>1.0399999999999999E-4</v>
      </c>
      <c r="CG419" s="13"/>
      <c r="CH419" s="13"/>
      <c r="CI419" s="13"/>
      <c r="CJ419" s="13"/>
      <c r="CK419" s="13"/>
      <c r="CL419" s="15">
        <v>4.8873E-2</v>
      </c>
      <c r="CM419" s="15">
        <v>9.7746E-2</v>
      </c>
      <c r="CN419" s="15">
        <v>4.8873E-2</v>
      </c>
      <c r="CO419" s="13"/>
      <c r="CP419" s="13"/>
      <c r="CQ419" s="15">
        <v>2.2426000000000001E-2</v>
      </c>
      <c r="CR419" s="15">
        <v>3.3640000000000003E-2</v>
      </c>
      <c r="CS419" s="13"/>
      <c r="CT419" s="15">
        <v>2.4028000000000001E-2</v>
      </c>
      <c r="CU419" s="13"/>
      <c r="CV419" s="13"/>
      <c r="CW419" s="15">
        <v>3.3640000000000003E-2</v>
      </c>
      <c r="CX419" s="13"/>
      <c r="CY419" s="15">
        <v>1.4416999999999999E-2</v>
      </c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6">
        <f>SUM(H419:DL419)</f>
        <v>1.0000000000000002</v>
      </c>
    </row>
    <row r="420" spans="1:117" x14ac:dyDescent="0.3">
      <c r="A420" s="17" t="s">
        <v>427</v>
      </c>
      <c r="B420" s="13" t="s">
        <v>428</v>
      </c>
      <c r="C420" s="13" t="s">
        <v>274</v>
      </c>
      <c r="D420" s="13">
        <v>32111.52</v>
      </c>
      <c r="E420" s="13">
        <f>14930.5539*B2</f>
        <v>14930.553900000001</v>
      </c>
      <c r="F420" s="13">
        <f>D420*E420</f>
        <v>479442780.17092806</v>
      </c>
      <c r="G420" s="14">
        <f>F420/A1</f>
        <v>6.146793389302207E-3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8"/>
      <c r="BG420" s="18"/>
      <c r="BH420" s="13"/>
      <c r="BI420" s="18"/>
      <c r="BJ420" s="13"/>
      <c r="BK420" s="18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8"/>
      <c r="CG420" s="13"/>
      <c r="CH420" s="13"/>
      <c r="CI420" s="13"/>
      <c r="CJ420" s="13"/>
      <c r="CK420" s="13"/>
      <c r="CL420" s="18"/>
      <c r="CM420" s="18"/>
      <c r="CN420" s="18"/>
      <c r="CO420" s="13"/>
      <c r="CP420" s="13"/>
      <c r="CQ420" s="18"/>
      <c r="CR420" s="18"/>
      <c r="CS420" s="13"/>
      <c r="CT420" s="18"/>
      <c r="CU420" s="13"/>
      <c r="CV420" s="13"/>
      <c r="CW420" s="18"/>
      <c r="CX420" s="13"/>
      <c r="CY420" s="18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9"/>
    </row>
    <row r="421" spans="1:117" x14ac:dyDescent="0.3">
      <c r="A421" s="12"/>
      <c r="B421" s="13"/>
      <c r="C421" s="13"/>
      <c r="D421" s="13"/>
      <c r="E421" s="13"/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20">
        <f>+$D420*BF419</f>
        <v>17166.336919199999</v>
      </c>
      <c r="BG421" s="20">
        <f>+$D420*BG419</f>
        <v>775.87854623999999</v>
      </c>
      <c r="BH421" s="13"/>
      <c r="BI421" s="20">
        <f>+$D420*BI419</f>
        <v>400.75176959999999</v>
      </c>
      <c r="BJ421" s="13"/>
      <c r="BK421" s="20">
        <f>+$D420*BK419</f>
        <v>3372.54449952</v>
      </c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20">
        <f>+$D420*CF419</f>
        <v>3.33959808</v>
      </c>
      <c r="CG421" s="13"/>
      <c r="CH421" s="13"/>
      <c r="CI421" s="13"/>
      <c r="CJ421" s="13"/>
      <c r="CK421" s="13"/>
      <c r="CL421" s="20">
        <f>+$D420*CL419</f>
        <v>1569.3863169599999</v>
      </c>
      <c r="CM421" s="20">
        <f>+$D420*CM419</f>
        <v>3138.7726339199999</v>
      </c>
      <c r="CN421" s="20">
        <f>+$D420*CN419</f>
        <v>1569.3863169599999</v>
      </c>
      <c r="CO421" s="13"/>
      <c r="CP421" s="13"/>
      <c r="CQ421" s="20">
        <f>+$D420*CQ419</f>
        <v>720.13294752000002</v>
      </c>
      <c r="CR421" s="20">
        <f>+$D420*CR419</f>
        <v>1080.2315328000002</v>
      </c>
      <c r="CS421" s="13"/>
      <c r="CT421" s="20">
        <f>+$D420*CT419</f>
        <v>771.57560255999999</v>
      </c>
      <c r="CU421" s="13"/>
      <c r="CV421" s="13"/>
      <c r="CW421" s="20">
        <f>+$D420*CW419</f>
        <v>1080.2315328000002</v>
      </c>
      <c r="CX421" s="13"/>
      <c r="CY421" s="20">
        <f>+$D420*CY419</f>
        <v>462.95178383999996</v>
      </c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21">
        <f>SUM(H421:DL421)</f>
        <v>32111.52</v>
      </c>
    </row>
    <row r="422" spans="1:117" x14ac:dyDescent="0.3">
      <c r="A422" s="12"/>
      <c r="B422" s="13"/>
      <c r="C422" s="13"/>
      <c r="D422" s="13"/>
      <c r="E422" s="13"/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5">
        <v>6.6759999999999996E-3</v>
      </c>
      <c r="BG422" s="15">
        <v>4.4330000000000003E-3</v>
      </c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5">
        <v>0.14933199999999999</v>
      </c>
      <c r="CO422" s="15">
        <v>0.29866300000000001</v>
      </c>
      <c r="CP422" s="15">
        <v>0.14933199999999999</v>
      </c>
      <c r="CQ422" s="13"/>
      <c r="CR422" s="15">
        <v>6.8524000000000002E-2</v>
      </c>
      <c r="CS422" s="15">
        <v>0.102786</v>
      </c>
      <c r="CT422" s="13"/>
      <c r="CU422" s="15">
        <v>7.3417999999999997E-2</v>
      </c>
      <c r="CV422" s="13"/>
      <c r="CW422" s="13"/>
      <c r="CX422" s="15">
        <v>0.102786</v>
      </c>
      <c r="CY422" s="13"/>
      <c r="CZ422" s="15">
        <v>4.4049999999999999E-2</v>
      </c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6">
        <f>SUM(H422:DL422)</f>
        <v>1</v>
      </c>
    </row>
    <row r="423" spans="1:117" x14ac:dyDescent="0.3">
      <c r="A423" s="17" t="s">
        <v>429</v>
      </c>
      <c r="B423" s="13" t="s">
        <v>430</v>
      </c>
      <c r="C423" s="13" t="s">
        <v>277</v>
      </c>
      <c r="D423" s="13">
        <v>7570.01</v>
      </c>
      <c r="E423" s="13">
        <f>28175*B2</f>
        <v>28175</v>
      </c>
      <c r="F423" s="13">
        <f>D423*E423</f>
        <v>213285031.75</v>
      </c>
      <c r="G423" s="14">
        <f>F423/A1</f>
        <v>2.7344640015866226E-3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8"/>
      <c r="BG423" s="18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8"/>
      <c r="CO423" s="18"/>
      <c r="CP423" s="18"/>
      <c r="CQ423" s="13"/>
      <c r="CR423" s="18"/>
      <c r="CS423" s="18"/>
      <c r="CT423" s="13"/>
      <c r="CU423" s="18"/>
      <c r="CV423" s="13"/>
      <c r="CW423" s="13"/>
      <c r="CX423" s="18"/>
      <c r="CY423" s="13"/>
      <c r="CZ423" s="18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9"/>
    </row>
    <row r="424" spans="1:117" x14ac:dyDescent="0.3">
      <c r="A424" s="12"/>
      <c r="B424" s="13"/>
      <c r="C424" s="13"/>
      <c r="D424" s="13"/>
      <c r="E424" s="13"/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20">
        <f>+$D423*BF422</f>
        <v>50.537386759999997</v>
      </c>
      <c r="BG424" s="20">
        <f>+$D423*BG422</f>
        <v>33.557854330000005</v>
      </c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20">
        <f>+$D423*CN422</f>
        <v>1130.4447333200001</v>
      </c>
      <c r="CO424" s="20">
        <f>+$D423*CO422</f>
        <v>2260.88189663</v>
      </c>
      <c r="CP424" s="20">
        <f>+$D423*CP422</f>
        <v>1130.4447333200001</v>
      </c>
      <c r="CQ424" s="13"/>
      <c r="CR424" s="20">
        <f>+$D423*CR422</f>
        <v>518.72736524000004</v>
      </c>
      <c r="CS424" s="20">
        <f>+$D423*CS422</f>
        <v>778.09104786</v>
      </c>
      <c r="CT424" s="13"/>
      <c r="CU424" s="20">
        <f>+$D423*CU422</f>
        <v>555.77499418000002</v>
      </c>
      <c r="CV424" s="13"/>
      <c r="CW424" s="13"/>
      <c r="CX424" s="20">
        <f>+$D423*CX422</f>
        <v>778.09104786</v>
      </c>
      <c r="CY424" s="13"/>
      <c r="CZ424" s="20">
        <f>+$D423*CZ422</f>
        <v>333.45894049999998</v>
      </c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21">
        <f>SUM(H424:DL424)</f>
        <v>7570.01</v>
      </c>
    </row>
    <row r="425" spans="1:117" x14ac:dyDescent="0.3">
      <c r="A425" s="12"/>
      <c r="B425" s="13"/>
      <c r="C425" s="13"/>
      <c r="D425" s="13"/>
      <c r="E425" s="13"/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6">
        <f>SUM(H425:DL425)</f>
        <v>0</v>
      </c>
    </row>
    <row r="426" spans="1:117" x14ac:dyDescent="0.3">
      <c r="A426" s="17" t="s">
        <v>431</v>
      </c>
      <c r="B426" s="13" t="s">
        <v>432</v>
      </c>
      <c r="C426" s="13" t="s">
        <v>364</v>
      </c>
      <c r="D426" s="13">
        <v>0</v>
      </c>
      <c r="E426" s="13">
        <f>37716509.9868*B2</f>
        <v>37716509.9868</v>
      </c>
      <c r="F426" s="13">
        <f>D426*E426</f>
        <v>0</v>
      </c>
      <c r="G426" s="14">
        <f>F426/A1</f>
        <v>0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9"/>
    </row>
    <row r="427" spans="1:117" x14ac:dyDescent="0.3">
      <c r="A427" s="12"/>
      <c r="B427" s="13"/>
      <c r="C427" s="13"/>
      <c r="D427" s="13"/>
      <c r="E427" s="13"/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21">
        <f>SUM(H427:DL427)</f>
        <v>0</v>
      </c>
    </row>
    <row r="428" spans="1:117" x14ac:dyDescent="0.3">
      <c r="A428" s="12"/>
      <c r="B428" s="13"/>
      <c r="C428" s="13"/>
      <c r="D428" s="13"/>
      <c r="E428" s="13"/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6">
        <f>SUM(H428:DL428)</f>
        <v>0</v>
      </c>
    </row>
    <row r="429" spans="1:117" x14ac:dyDescent="0.3">
      <c r="A429" s="17" t="s">
        <v>433</v>
      </c>
      <c r="B429" s="13" t="s">
        <v>434</v>
      </c>
      <c r="C429" s="13" t="s">
        <v>364</v>
      </c>
      <c r="D429" s="13">
        <v>0</v>
      </c>
      <c r="E429" s="13">
        <f>59129343.6791*B2</f>
        <v>59129343.679099999</v>
      </c>
      <c r="F429" s="13">
        <f>D429*E429</f>
        <v>0</v>
      </c>
      <c r="G429" s="14">
        <f>F429/A1</f>
        <v>0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9"/>
    </row>
    <row r="430" spans="1:117" x14ac:dyDescent="0.3">
      <c r="A430" s="12"/>
      <c r="B430" s="13"/>
      <c r="C430" s="13"/>
      <c r="D430" s="13"/>
      <c r="E430" s="13"/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21">
        <f>SUM(H430:DL430)</f>
        <v>0</v>
      </c>
    </row>
    <row r="431" spans="1:117" x14ac:dyDescent="0.3">
      <c r="A431" s="12"/>
      <c r="B431" s="13"/>
      <c r="C431" s="13"/>
      <c r="D431" s="13"/>
      <c r="E431" s="13"/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6">
        <f>SUM(H431:DL431)</f>
        <v>0</v>
      </c>
    </row>
    <row r="432" spans="1:117" x14ac:dyDescent="0.3">
      <c r="A432" s="17" t="s">
        <v>435</v>
      </c>
      <c r="B432" s="13" t="s">
        <v>436</v>
      </c>
      <c r="C432" s="13" t="s">
        <v>364</v>
      </c>
      <c r="D432" s="13">
        <v>0</v>
      </c>
      <c r="E432" s="13">
        <f>34413881.5308*B2</f>
        <v>34413881.5308</v>
      </c>
      <c r="F432" s="13">
        <f>D432*E432</f>
        <v>0</v>
      </c>
      <c r="G432" s="14">
        <f>F432/A1</f>
        <v>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9"/>
    </row>
    <row r="433" spans="1:117" x14ac:dyDescent="0.3">
      <c r="A433" s="12"/>
      <c r="B433" s="13"/>
      <c r="C433" s="13"/>
      <c r="D433" s="13"/>
      <c r="E433" s="13"/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21">
        <f>SUM(H433:DL433)</f>
        <v>0</v>
      </c>
    </row>
    <row r="434" spans="1:117" x14ac:dyDescent="0.3">
      <c r="A434" s="12"/>
      <c r="B434" s="13"/>
      <c r="C434" s="13"/>
      <c r="D434" s="13"/>
      <c r="E434" s="13"/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5">
        <v>0.3</v>
      </c>
      <c r="CN434" s="15">
        <v>0.7</v>
      </c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6">
        <f>SUM(H434:DL434)</f>
        <v>1</v>
      </c>
    </row>
    <row r="435" spans="1:117" x14ac:dyDescent="0.3">
      <c r="A435" s="17" t="s">
        <v>437</v>
      </c>
      <c r="B435" s="13" t="s">
        <v>438</v>
      </c>
      <c r="C435" s="13" t="s">
        <v>280</v>
      </c>
      <c r="D435" s="13">
        <v>10</v>
      </c>
      <c r="E435" s="13">
        <f>5152986.3867*B2</f>
        <v>5152986.3866999997</v>
      </c>
      <c r="F435" s="13">
        <f>D435*E435</f>
        <v>51529863.866999999</v>
      </c>
      <c r="G435" s="14">
        <f>F435/A1</f>
        <v>6.6064906943930784E-4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8"/>
      <c r="CN435" s="18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9"/>
    </row>
    <row r="436" spans="1:117" x14ac:dyDescent="0.3">
      <c r="A436" s="12"/>
      <c r="B436" s="13"/>
      <c r="C436" s="13"/>
      <c r="D436" s="13"/>
      <c r="E436" s="13"/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20">
        <f>+$D435*CM434</f>
        <v>3</v>
      </c>
      <c r="CN436" s="20">
        <f>+$D435*CN434</f>
        <v>7</v>
      </c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21">
        <f>SUM(H436:DL436)</f>
        <v>10</v>
      </c>
    </row>
    <row r="437" spans="1:117" x14ac:dyDescent="0.3">
      <c r="A437" s="12"/>
      <c r="B437" s="13"/>
      <c r="C437" s="13"/>
      <c r="D437" s="13"/>
      <c r="E437" s="13"/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5">
        <v>0.25</v>
      </c>
      <c r="CV437" s="15">
        <v>0.25</v>
      </c>
      <c r="CW437" s="15">
        <v>0.25</v>
      </c>
      <c r="CX437" s="15">
        <v>0.25</v>
      </c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6">
        <f>SUM(H437:DL437)</f>
        <v>1</v>
      </c>
    </row>
    <row r="438" spans="1:117" x14ac:dyDescent="0.3">
      <c r="A438" s="17" t="s">
        <v>439</v>
      </c>
      <c r="B438" s="13" t="s">
        <v>440</v>
      </c>
      <c r="C438" s="13" t="s">
        <v>364</v>
      </c>
      <c r="D438" s="13">
        <v>1</v>
      </c>
      <c r="E438" s="13">
        <f>1683721536.0832*B2</f>
        <v>1683721536.0832</v>
      </c>
      <c r="F438" s="13">
        <f>D438*E438</f>
        <v>1683721536.0832</v>
      </c>
      <c r="G438" s="14">
        <f>F438/A1</f>
        <v>2.158649339496203E-2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8"/>
      <c r="CV438" s="18"/>
      <c r="CW438" s="18"/>
      <c r="CX438" s="18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9"/>
    </row>
    <row r="439" spans="1:117" x14ac:dyDescent="0.3">
      <c r="A439" s="12"/>
      <c r="B439" s="13"/>
      <c r="C439" s="13"/>
      <c r="D439" s="13"/>
      <c r="E439" s="13"/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20">
        <f>+$D438*CU437</f>
        <v>0.25</v>
      </c>
      <c r="CV439" s="20">
        <f>+$D438*CV437</f>
        <v>0.25</v>
      </c>
      <c r="CW439" s="20">
        <f>+$D438*CW437</f>
        <v>0.25</v>
      </c>
      <c r="CX439" s="20">
        <f>+$D438*CX437</f>
        <v>0.25</v>
      </c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21">
        <f>SUM(H439:DL439)</f>
        <v>1</v>
      </c>
    </row>
    <row r="440" spans="1:117" x14ac:dyDescent="0.3">
      <c r="A440" s="12"/>
      <c r="B440" s="13"/>
      <c r="C440" s="13"/>
      <c r="D440" s="13"/>
      <c r="E440" s="13"/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5">
        <v>0.53901500000000002</v>
      </c>
      <c r="BG440" s="15">
        <v>2.4631E-2</v>
      </c>
      <c r="BH440" s="13"/>
      <c r="BI440" s="15">
        <v>1.5556E-2</v>
      </c>
      <c r="BJ440" s="13"/>
      <c r="BK440" s="15">
        <v>0.13689399999999999</v>
      </c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5">
        <v>1.2999999999999999E-4</v>
      </c>
      <c r="CG440" s="13"/>
      <c r="CH440" s="13"/>
      <c r="CI440" s="13"/>
      <c r="CJ440" s="13"/>
      <c r="CK440" s="13"/>
      <c r="CL440" s="13"/>
      <c r="CM440" s="15">
        <v>4.2853000000000002E-2</v>
      </c>
      <c r="CN440" s="15">
        <v>8.5705000000000003E-2</v>
      </c>
      <c r="CO440" s="15">
        <v>4.2853000000000002E-2</v>
      </c>
      <c r="CP440" s="13"/>
      <c r="CQ440" s="13"/>
      <c r="CR440" s="15">
        <v>1.9664000000000001E-2</v>
      </c>
      <c r="CS440" s="15">
        <v>2.9496000000000001E-2</v>
      </c>
      <c r="CT440" s="13"/>
      <c r="CU440" s="15">
        <v>2.1068E-2</v>
      </c>
      <c r="CV440" s="13"/>
      <c r="CW440" s="13"/>
      <c r="CX440" s="15">
        <v>2.9496000000000001E-2</v>
      </c>
      <c r="CY440" s="13"/>
      <c r="CZ440" s="15">
        <v>1.2638999999999999E-2</v>
      </c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6">
        <f>SUM(H440:DL440)</f>
        <v>0.99999999999999989</v>
      </c>
    </row>
    <row r="441" spans="1:117" x14ac:dyDescent="0.3">
      <c r="A441" s="17" t="s">
        <v>441</v>
      </c>
      <c r="B441" s="13" t="s">
        <v>442</v>
      </c>
      <c r="C441" s="13" t="s">
        <v>126</v>
      </c>
      <c r="D441" s="13">
        <v>7714</v>
      </c>
      <c r="E441" s="13">
        <f>8199.0199*B2</f>
        <v>8199.0198999999993</v>
      </c>
      <c r="F441" s="13">
        <f>D441*E441</f>
        <v>63247239.508599997</v>
      </c>
      <c r="G441" s="14">
        <f>F441/A1</f>
        <v>8.1087406001707795E-4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8"/>
      <c r="BG441" s="18"/>
      <c r="BH441" s="13"/>
      <c r="BI441" s="18"/>
      <c r="BJ441" s="13"/>
      <c r="BK441" s="18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8"/>
      <c r="CG441" s="13"/>
      <c r="CH441" s="13"/>
      <c r="CI441" s="13"/>
      <c r="CJ441" s="13"/>
      <c r="CK441" s="13"/>
      <c r="CL441" s="13"/>
      <c r="CM441" s="18"/>
      <c r="CN441" s="18"/>
      <c r="CO441" s="18"/>
      <c r="CP441" s="13"/>
      <c r="CQ441" s="13"/>
      <c r="CR441" s="18"/>
      <c r="CS441" s="18"/>
      <c r="CT441" s="13"/>
      <c r="CU441" s="18"/>
      <c r="CV441" s="13"/>
      <c r="CW441" s="13"/>
      <c r="CX441" s="18"/>
      <c r="CY441" s="13"/>
      <c r="CZ441" s="18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9"/>
    </row>
    <row r="442" spans="1:117" x14ac:dyDescent="0.3">
      <c r="A442" s="12"/>
      <c r="B442" s="13"/>
      <c r="C442" s="13"/>
      <c r="D442" s="13"/>
      <c r="E442" s="13"/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20">
        <f>+$D441*BF440</f>
        <v>4157.9617100000005</v>
      </c>
      <c r="BG442" s="20">
        <f>+$D441*BG440</f>
        <v>190.003534</v>
      </c>
      <c r="BH442" s="13"/>
      <c r="BI442" s="20">
        <f>+$D441*BI440</f>
        <v>119.99898400000001</v>
      </c>
      <c r="BJ442" s="13"/>
      <c r="BK442" s="20">
        <f>+$D441*BK440</f>
        <v>1056.0003159999999</v>
      </c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20">
        <f>+$D441*CF440</f>
        <v>1.0028199999999998</v>
      </c>
      <c r="CG442" s="13"/>
      <c r="CH442" s="13"/>
      <c r="CI442" s="13"/>
      <c r="CJ442" s="13"/>
      <c r="CK442" s="13"/>
      <c r="CL442" s="13"/>
      <c r="CM442" s="20">
        <f>+$D441*CM440</f>
        <v>330.56804199999999</v>
      </c>
      <c r="CN442" s="20">
        <f>+$D441*CN440</f>
        <v>661.12837000000002</v>
      </c>
      <c r="CO442" s="20">
        <f>+$D441*CO440</f>
        <v>330.56804199999999</v>
      </c>
      <c r="CP442" s="13"/>
      <c r="CQ442" s="13"/>
      <c r="CR442" s="20">
        <f>+$D441*CR440</f>
        <v>151.688096</v>
      </c>
      <c r="CS442" s="20">
        <f>+$D441*CS440</f>
        <v>227.53214400000002</v>
      </c>
      <c r="CT442" s="13"/>
      <c r="CU442" s="20">
        <f>+$D441*CU440</f>
        <v>162.518552</v>
      </c>
      <c r="CV442" s="13"/>
      <c r="CW442" s="13"/>
      <c r="CX442" s="20">
        <f>+$D441*CX440</f>
        <v>227.53214400000002</v>
      </c>
      <c r="CY442" s="13"/>
      <c r="CZ442" s="20">
        <f>+$D441*CZ440</f>
        <v>97.49724599999999</v>
      </c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21">
        <f>SUM(H442:DL442)</f>
        <v>7714</v>
      </c>
    </row>
    <row r="443" spans="1:117" x14ac:dyDescent="0.3">
      <c r="A443" s="8" t="s">
        <v>443</v>
      </c>
      <c r="B443" s="9" t="s">
        <v>444</v>
      </c>
      <c r="C443" s="9"/>
      <c r="D443" s="9"/>
      <c r="E443" s="9"/>
      <c r="F443" s="9"/>
      <c r="G443" s="1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11"/>
    </row>
    <row r="444" spans="1:117" x14ac:dyDescent="0.3">
      <c r="A444" s="12"/>
      <c r="B444" s="13"/>
      <c r="C444" s="13"/>
      <c r="D444" s="13"/>
      <c r="E444" s="13"/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5">
        <v>0.32229000000000002</v>
      </c>
      <c r="BG444" s="15">
        <v>1.72E-3</v>
      </c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5">
        <v>0.22533</v>
      </c>
      <c r="CN444" s="15">
        <v>0.45066000000000001</v>
      </c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6">
        <f>SUM(H444:DL444)</f>
        <v>1</v>
      </c>
    </row>
    <row r="445" spans="1:117" x14ac:dyDescent="0.3">
      <c r="A445" s="17" t="s">
        <v>445</v>
      </c>
      <c r="B445" s="13" t="s">
        <v>446</v>
      </c>
      <c r="C445" s="13" t="s">
        <v>126</v>
      </c>
      <c r="D445" s="13">
        <v>5814.64</v>
      </c>
      <c r="E445" s="13">
        <f>3667.1953*B2</f>
        <v>3667.1952999999999</v>
      </c>
      <c r="F445" s="13">
        <f>D445*E445</f>
        <v>21323420.479192</v>
      </c>
      <c r="G445" s="14">
        <f>F445/A1</f>
        <v>2.7338123642633674E-4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8"/>
      <c r="BG445" s="18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8"/>
      <c r="CN445" s="18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9"/>
    </row>
    <row r="446" spans="1:117" x14ac:dyDescent="0.3">
      <c r="A446" s="12"/>
      <c r="B446" s="13"/>
      <c r="C446" s="13"/>
      <c r="D446" s="13"/>
      <c r="E446" s="13"/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20">
        <f>+$D445*BF444</f>
        <v>1874.0003256000002</v>
      </c>
      <c r="BG446" s="20">
        <f>+$D445*BG444</f>
        <v>10.0011808</v>
      </c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20">
        <f>+$D445*CM444</f>
        <v>1310.2128312</v>
      </c>
      <c r="CN446" s="20">
        <f>+$D445*CN444</f>
        <v>2620.4256624</v>
      </c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21">
        <f>SUM(H446:DL446)</f>
        <v>5814.64</v>
      </c>
    </row>
    <row r="447" spans="1:117" x14ac:dyDescent="0.3">
      <c r="A447" s="12"/>
      <c r="B447" s="13"/>
      <c r="C447" s="13"/>
      <c r="D447" s="13"/>
      <c r="E447" s="13"/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5">
        <v>0.33333299999999999</v>
      </c>
      <c r="CW447" s="15">
        <v>0.33333299999999999</v>
      </c>
      <c r="CX447" s="15">
        <v>0.33333400000000002</v>
      </c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6">
        <f>SUM(H447:DL447)</f>
        <v>1</v>
      </c>
    </row>
    <row r="448" spans="1:117" x14ac:dyDescent="0.3">
      <c r="A448" s="17" t="s">
        <v>447</v>
      </c>
      <c r="B448" s="13" t="s">
        <v>448</v>
      </c>
      <c r="C448" s="13" t="s">
        <v>280</v>
      </c>
      <c r="D448" s="13">
        <v>3</v>
      </c>
      <c r="E448" s="13">
        <f>3676848.8712*B2</f>
        <v>3676848.8711999999</v>
      </c>
      <c r="F448" s="13">
        <f>D448*E448</f>
        <v>11030546.613600001</v>
      </c>
      <c r="G448" s="14">
        <f>F448/A1</f>
        <v>1.4141935974235298E-4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8"/>
      <c r="CW448" s="18"/>
      <c r="CX448" s="18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9"/>
    </row>
    <row r="449" spans="1:117" x14ac:dyDescent="0.3">
      <c r="A449" s="12"/>
      <c r="B449" s="13"/>
      <c r="C449" s="13"/>
      <c r="D449" s="13"/>
      <c r="E449" s="13"/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20">
        <f>+$D448*CV447</f>
        <v>0.99999899999999997</v>
      </c>
      <c r="CW449" s="20">
        <f>+$D448*CW447</f>
        <v>0.99999899999999997</v>
      </c>
      <c r="CX449" s="20">
        <f>+$D448*CX447</f>
        <v>1.0000020000000001</v>
      </c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21">
        <f>SUM(H449:DL449)</f>
        <v>3</v>
      </c>
    </row>
    <row r="450" spans="1:117" x14ac:dyDescent="0.3">
      <c r="A450" s="12"/>
      <c r="B450" s="13"/>
      <c r="C450" s="13"/>
      <c r="D450" s="13"/>
      <c r="E450" s="13"/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5">
        <v>0.7</v>
      </c>
      <c r="CW450" s="13"/>
      <c r="CX450" s="15">
        <v>0.3</v>
      </c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6">
        <f>SUM(H450:DL450)</f>
        <v>1</v>
      </c>
    </row>
    <row r="451" spans="1:117" x14ac:dyDescent="0.3">
      <c r="A451" s="17" t="s">
        <v>449</v>
      </c>
      <c r="B451" s="13" t="s">
        <v>450</v>
      </c>
      <c r="C451" s="13" t="s">
        <v>280</v>
      </c>
      <c r="D451" s="13">
        <v>1</v>
      </c>
      <c r="E451" s="13">
        <f>52237650.3341*B2</f>
        <v>52237650.334100001</v>
      </c>
      <c r="F451" s="13">
        <f>D451*E451</f>
        <v>52237650.334100001</v>
      </c>
      <c r="G451" s="14">
        <f>F451/A1</f>
        <v>6.6972338937266215E-4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8"/>
      <c r="CW451" s="13"/>
      <c r="CX451" s="18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9"/>
    </row>
    <row r="452" spans="1:117" x14ac:dyDescent="0.3">
      <c r="A452" s="12"/>
      <c r="B452" s="13"/>
      <c r="C452" s="13"/>
      <c r="D452" s="13"/>
      <c r="E452" s="13"/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20">
        <f>+$D451*CV450</f>
        <v>0.7</v>
      </c>
      <c r="CW452" s="13"/>
      <c r="CX452" s="20">
        <f>+$D451*CX450</f>
        <v>0.3</v>
      </c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21">
        <f>SUM(H452:DL452)</f>
        <v>1</v>
      </c>
    </row>
    <row r="453" spans="1:117" x14ac:dyDescent="0.3">
      <c r="A453" s="12"/>
      <c r="B453" s="13"/>
      <c r="C453" s="13"/>
      <c r="D453" s="13"/>
      <c r="E453" s="13"/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6">
        <f>SUM(H453:DL453)</f>
        <v>0</v>
      </c>
    </row>
    <row r="454" spans="1:117" x14ac:dyDescent="0.3">
      <c r="A454" s="17" t="s">
        <v>451</v>
      </c>
      <c r="B454" s="13" t="s">
        <v>452</v>
      </c>
      <c r="C454" s="13" t="s">
        <v>126</v>
      </c>
      <c r="D454" s="13">
        <v>0</v>
      </c>
      <c r="E454" s="13">
        <f>0*B2</f>
        <v>0</v>
      </c>
      <c r="F454" s="13">
        <f>D454*E454</f>
        <v>0</v>
      </c>
      <c r="G454" s="14">
        <f>F454/A1</f>
        <v>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9"/>
    </row>
    <row r="455" spans="1:117" x14ac:dyDescent="0.3">
      <c r="A455" s="12"/>
      <c r="B455" s="13"/>
      <c r="C455" s="13"/>
      <c r="D455" s="13"/>
      <c r="E455" s="13"/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21">
        <f>SUM(H455:DL455)</f>
        <v>0</v>
      </c>
    </row>
    <row r="456" spans="1:117" x14ac:dyDescent="0.3">
      <c r="A456" s="12"/>
      <c r="B456" s="13"/>
      <c r="C456" s="13"/>
      <c r="D456" s="13"/>
      <c r="E456" s="13"/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6">
        <f>SUM(H456:DL456)</f>
        <v>0</v>
      </c>
    </row>
    <row r="457" spans="1:117" x14ac:dyDescent="0.3">
      <c r="A457" s="17" t="s">
        <v>453</v>
      </c>
      <c r="B457" s="13" t="s">
        <v>454</v>
      </c>
      <c r="C457" s="13" t="s">
        <v>347</v>
      </c>
      <c r="D457" s="13">
        <v>0</v>
      </c>
      <c r="E457" s="13">
        <f>0*B2</f>
        <v>0</v>
      </c>
      <c r="F457" s="13">
        <f>D457*E457</f>
        <v>0</v>
      </c>
      <c r="G457" s="14">
        <f>F457/A1</f>
        <v>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9"/>
    </row>
    <row r="458" spans="1:117" x14ac:dyDescent="0.3">
      <c r="A458" s="12"/>
      <c r="B458" s="13"/>
      <c r="C458" s="13"/>
      <c r="D458" s="13"/>
      <c r="E458" s="13"/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21">
        <f>SUM(H458:DL458)</f>
        <v>0</v>
      </c>
    </row>
    <row r="459" spans="1:117" x14ac:dyDescent="0.3">
      <c r="A459" s="8" t="s">
        <v>455</v>
      </c>
      <c r="B459" s="9" t="s">
        <v>456</v>
      </c>
      <c r="C459" s="9"/>
      <c r="D459" s="9"/>
      <c r="E459" s="9"/>
      <c r="F459" s="9"/>
      <c r="G459" s="1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11"/>
    </row>
    <row r="460" spans="1:117" x14ac:dyDescent="0.3">
      <c r="A460" s="12"/>
      <c r="B460" s="13"/>
      <c r="C460" s="13"/>
      <c r="D460" s="13"/>
      <c r="E460" s="13"/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5">
        <v>0.97998600000000002</v>
      </c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5">
        <v>2.503E-3</v>
      </c>
      <c r="CN460" s="15">
        <v>3.4420000000000002E-3</v>
      </c>
      <c r="CO460" s="15">
        <v>5.2839999999999996E-3</v>
      </c>
      <c r="CP460" s="15">
        <v>3.2859999999999999E-3</v>
      </c>
      <c r="CQ460" s="15">
        <v>6.9300000000000004E-4</v>
      </c>
      <c r="CR460" s="15">
        <v>1.0950000000000001E-3</v>
      </c>
      <c r="CS460" s="15">
        <v>1.1180000000000001E-3</v>
      </c>
      <c r="CT460" s="15">
        <v>8.0500000000000005E-4</v>
      </c>
      <c r="CU460" s="13"/>
      <c r="CV460" s="15">
        <v>3.1300000000000002E-4</v>
      </c>
      <c r="CW460" s="15">
        <v>4.4700000000000002E-4</v>
      </c>
      <c r="CX460" s="15">
        <v>7.1500000000000003E-4</v>
      </c>
      <c r="CY460" s="15">
        <v>1.34E-4</v>
      </c>
      <c r="CZ460" s="15">
        <v>1.7899999999999999E-4</v>
      </c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6">
        <f>SUM(H460:DL460)</f>
        <v>0.99999999999999989</v>
      </c>
    </row>
    <row r="461" spans="1:117" x14ac:dyDescent="0.3">
      <c r="A461" s="17" t="s">
        <v>457</v>
      </c>
      <c r="B461" s="13" t="s">
        <v>458</v>
      </c>
      <c r="C461" s="13" t="s">
        <v>126</v>
      </c>
      <c r="D461" s="13">
        <v>12541.43</v>
      </c>
      <c r="E461" s="13">
        <f>12725.7916*B2</f>
        <v>12725.7916</v>
      </c>
      <c r="F461" s="13">
        <f>D461*E461</f>
        <v>159599624.54598802</v>
      </c>
      <c r="G461" s="14">
        <f>F461/A1</f>
        <v>2.0461793516728813E-3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8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8"/>
      <c r="CN461" s="18"/>
      <c r="CO461" s="18"/>
      <c r="CP461" s="18"/>
      <c r="CQ461" s="18"/>
      <c r="CR461" s="18"/>
      <c r="CS461" s="18"/>
      <c r="CT461" s="18"/>
      <c r="CU461" s="13"/>
      <c r="CV461" s="18"/>
      <c r="CW461" s="18"/>
      <c r="CX461" s="18"/>
      <c r="CY461" s="18"/>
      <c r="CZ461" s="18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9"/>
    </row>
    <row r="462" spans="1:117" x14ac:dyDescent="0.3">
      <c r="A462" s="12"/>
      <c r="B462" s="13"/>
      <c r="C462" s="13"/>
      <c r="D462" s="13"/>
      <c r="E462" s="13"/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20">
        <f>+$D461*BF460</f>
        <v>12290.425819980001</v>
      </c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20">
        <f t="shared" ref="CM462:CT462" si="14">+$D461*CM460</f>
        <v>31.391199289999999</v>
      </c>
      <c r="CN462" s="20">
        <f t="shared" si="14"/>
        <v>43.16760206</v>
      </c>
      <c r="CO462" s="20">
        <f t="shared" si="14"/>
        <v>66.26891612</v>
      </c>
      <c r="CP462" s="20">
        <f t="shared" si="14"/>
        <v>41.211138980000001</v>
      </c>
      <c r="CQ462" s="20">
        <f t="shared" si="14"/>
        <v>8.6912109900000001</v>
      </c>
      <c r="CR462" s="20">
        <f t="shared" si="14"/>
        <v>13.732865850000001</v>
      </c>
      <c r="CS462" s="20">
        <f t="shared" si="14"/>
        <v>14.021318740000002</v>
      </c>
      <c r="CT462" s="20">
        <f t="shared" si="14"/>
        <v>10.095851150000001</v>
      </c>
      <c r="CU462" s="13"/>
      <c r="CV462" s="20">
        <f>+$D461*CV460</f>
        <v>3.9254675900000002</v>
      </c>
      <c r="CW462" s="20">
        <f>+$D461*CW460</f>
        <v>5.6060192100000004</v>
      </c>
      <c r="CX462" s="20">
        <f>+$D461*CX460</f>
        <v>8.9671224499999997</v>
      </c>
      <c r="CY462" s="20">
        <f>+$D461*CY460</f>
        <v>1.6805516200000001</v>
      </c>
      <c r="CZ462" s="20">
        <f>+$D461*CZ460</f>
        <v>2.2449159700000001</v>
      </c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21">
        <f>SUM(H462:DL462)</f>
        <v>12541.429999999998</v>
      </c>
    </row>
    <row r="463" spans="1:117" x14ac:dyDescent="0.3">
      <c r="A463" s="8" t="s">
        <v>459</v>
      </c>
      <c r="B463" s="9" t="s">
        <v>460</v>
      </c>
      <c r="C463" s="9"/>
      <c r="D463" s="9"/>
      <c r="E463" s="9"/>
      <c r="F463" s="9"/>
      <c r="G463" s="1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11"/>
    </row>
    <row r="464" spans="1:117" x14ac:dyDescent="0.3">
      <c r="A464" s="12"/>
      <c r="B464" s="13"/>
      <c r="C464" s="13"/>
      <c r="D464" s="13"/>
      <c r="E464" s="13"/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5">
        <v>0.577928</v>
      </c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5">
        <v>6.5290000000000001E-3</v>
      </c>
      <c r="CN464" s="15">
        <v>5.3585000000000001E-2</v>
      </c>
      <c r="CO464" s="15">
        <v>0.12993199999999999</v>
      </c>
      <c r="CP464" s="15">
        <v>9.2315999999999995E-2</v>
      </c>
      <c r="CQ464" s="15">
        <v>9.8960000000000003E-3</v>
      </c>
      <c r="CR464" s="15">
        <v>2.6623999999999998E-2</v>
      </c>
      <c r="CS464" s="15">
        <v>3.6051E-2</v>
      </c>
      <c r="CT464" s="15">
        <v>3.7393000000000003E-2</v>
      </c>
      <c r="CU464" s="13"/>
      <c r="CV464" s="15">
        <v>1.9989999999999999E-3</v>
      </c>
      <c r="CW464" s="13"/>
      <c r="CX464" s="15">
        <v>2.5748E-2</v>
      </c>
      <c r="CY464" s="15">
        <v>8.5700000000000001E-4</v>
      </c>
      <c r="CZ464" s="15">
        <v>1.142E-3</v>
      </c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6">
        <f>SUM(H464:DL464)</f>
        <v>0.99999999999999989</v>
      </c>
    </row>
    <row r="465" spans="1:117" x14ac:dyDescent="0.3">
      <c r="A465" s="17" t="s">
        <v>461</v>
      </c>
      <c r="B465" s="13" t="s">
        <v>462</v>
      </c>
      <c r="C465" s="13" t="s">
        <v>126</v>
      </c>
      <c r="D465" s="13">
        <v>3976.79</v>
      </c>
      <c r="E465" s="13">
        <f>7574.7599*B2</f>
        <v>7574.7599</v>
      </c>
      <c r="F465" s="13">
        <f>D465*E465</f>
        <v>30123229.422720999</v>
      </c>
      <c r="G465" s="14">
        <f>F465/A1</f>
        <v>3.8620097149862716E-4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8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8"/>
      <c r="CN465" s="18"/>
      <c r="CO465" s="18"/>
      <c r="CP465" s="18"/>
      <c r="CQ465" s="18"/>
      <c r="CR465" s="18"/>
      <c r="CS465" s="18"/>
      <c r="CT465" s="18"/>
      <c r="CU465" s="13"/>
      <c r="CV465" s="18"/>
      <c r="CW465" s="13"/>
      <c r="CX465" s="18"/>
      <c r="CY465" s="18"/>
      <c r="CZ465" s="18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9"/>
    </row>
    <row r="466" spans="1:117" x14ac:dyDescent="0.3">
      <c r="A466" s="12"/>
      <c r="B466" s="13"/>
      <c r="C466" s="13"/>
      <c r="D466" s="13"/>
      <c r="E466" s="13"/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20">
        <f>+$D465*BF464</f>
        <v>2298.2982911200002</v>
      </c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20">
        <f t="shared" ref="CM466:CT466" si="15">+$D465*CM464</f>
        <v>25.964461910000001</v>
      </c>
      <c r="CN466" s="20">
        <f t="shared" si="15"/>
        <v>213.09629215000001</v>
      </c>
      <c r="CO466" s="20">
        <f t="shared" si="15"/>
        <v>516.71227827999996</v>
      </c>
      <c r="CP466" s="20">
        <f t="shared" si="15"/>
        <v>367.12134563999996</v>
      </c>
      <c r="CQ466" s="20">
        <f t="shared" si="15"/>
        <v>39.354313840000003</v>
      </c>
      <c r="CR466" s="20">
        <f t="shared" si="15"/>
        <v>105.87805696</v>
      </c>
      <c r="CS466" s="20">
        <f t="shared" si="15"/>
        <v>143.36725629</v>
      </c>
      <c r="CT466" s="20">
        <f t="shared" si="15"/>
        <v>148.70410847000002</v>
      </c>
      <c r="CU466" s="13"/>
      <c r="CV466" s="20">
        <f>+$D465*CV464</f>
        <v>7.9496032099999994</v>
      </c>
      <c r="CW466" s="13"/>
      <c r="CX466" s="20">
        <f>+$D465*CX464</f>
        <v>102.39438892</v>
      </c>
      <c r="CY466" s="20">
        <f>+$D465*CY464</f>
        <v>3.4081090299999999</v>
      </c>
      <c r="CZ466" s="20">
        <f>+$D465*CZ464</f>
        <v>4.5414941799999999</v>
      </c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21">
        <f>SUM(H466:DL466)</f>
        <v>3976.79</v>
      </c>
    </row>
    <row r="467" spans="1:117" x14ac:dyDescent="0.3">
      <c r="A467" s="8" t="s">
        <v>463</v>
      </c>
      <c r="B467" s="9" t="s">
        <v>464</v>
      </c>
      <c r="C467" s="9"/>
      <c r="D467" s="9"/>
      <c r="E467" s="9"/>
      <c r="F467" s="9"/>
      <c r="G467" s="1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11"/>
    </row>
    <row r="468" spans="1:117" x14ac:dyDescent="0.3">
      <c r="A468" s="12"/>
      <c r="B468" s="13"/>
      <c r="C468" s="13"/>
      <c r="D468" s="13"/>
      <c r="E468" s="13"/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5">
        <v>0.73839299999999997</v>
      </c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5">
        <v>2.4417000000000001E-2</v>
      </c>
      <c r="CO468" s="15">
        <v>8.5458000000000006E-2</v>
      </c>
      <c r="CP468" s="15">
        <v>6.1041999999999999E-2</v>
      </c>
      <c r="CQ468" s="15">
        <v>5.2319999999999997E-3</v>
      </c>
      <c r="CR468" s="15">
        <v>1.5696000000000002E-2</v>
      </c>
      <c r="CS468" s="15">
        <v>2.6161E-2</v>
      </c>
      <c r="CT468" s="15">
        <v>2.6161E-2</v>
      </c>
      <c r="CU468" s="13"/>
      <c r="CV468" s="13"/>
      <c r="CW468" s="13"/>
      <c r="CX468" s="15">
        <v>1.7440000000000001E-2</v>
      </c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6">
        <f>SUM(H468:DL468)</f>
        <v>1</v>
      </c>
    </row>
    <row r="469" spans="1:117" x14ac:dyDescent="0.3">
      <c r="A469" s="17" t="s">
        <v>465</v>
      </c>
      <c r="B469" s="13" t="s">
        <v>466</v>
      </c>
      <c r="C469" s="13" t="s">
        <v>135</v>
      </c>
      <c r="D469" s="13">
        <v>65890.710000000006</v>
      </c>
      <c r="E469" s="13">
        <f>6454.6531*B2</f>
        <v>6454.6531000000004</v>
      </c>
      <c r="F469" s="13">
        <f>D469*E469</f>
        <v>425301675.56270105</v>
      </c>
      <c r="G469" s="14">
        <f>F469/A1</f>
        <v>5.4526663784069266E-3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8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8"/>
      <c r="CO469" s="18"/>
      <c r="CP469" s="18"/>
      <c r="CQ469" s="18"/>
      <c r="CR469" s="18"/>
      <c r="CS469" s="18"/>
      <c r="CT469" s="18"/>
      <c r="CU469" s="13"/>
      <c r="CV469" s="13"/>
      <c r="CW469" s="13"/>
      <c r="CX469" s="18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9"/>
    </row>
    <row r="470" spans="1:117" x14ac:dyDescent="0.3">
      <c r="A470" s="12"/>
      <c r="B470" s="13"/>
      <c r="C470" s="13"/>
      <c r="D470" s="13"/>
      <c r="E470" s="13"/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20">
        <f>+$D469*BF468</f>
        <v>48653.239029030003</v>
      </c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20">
        <f t="shared" ref="CN470:CT470" si="16">+$D469*CN468</f>
        <v>1608.8534660700002</v>
      </c>
      <c r="CO470" s="20">
        <f t="shared" si="16"/>
        <v>5630.8882951800006</v>
      </c>
      <c r="CP470" s="20">
        <f t="shared" si="16"/>
        <v>4022.1007198200004</v>
      </c>
      <c r="CQ470" s="20">
        <f t="shared" si="16"/>
        <v>344.74019472000003</v>
      </c>
      <c r="CR470" s="20">
        <f t="shared" si="16"/>
        <v>1034.2205841600003</v>
      </c>
      <c r="CS470" s="20">
        <f t="shared" si="16"/>
        <v>1723.7668643100001</v>
      </c>
      <c r="CT470" s="20">
        <f t="shared" si="16"/>
        <v>1723.7668643100001</v>
      </c>
      <c r="CU470" s="13"/>
      <c r="CV470" s="13"/>
      <c r="CW470" s="13"/>
      <c r="CX470" s="20">
        <f>+$D469*CX468</f>
        <v>1149.1339824000001</v>
      </c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21">
        <f>SUM(H470:DL470)</f>
        <v>65890.710000000006</v>
      </c>
    </row>
    <row r="471" spans="1:117" x14ac:dyDescent="0.3">
      <c r="A471" s="12"/>
      <c r="B471" s="13"/>
      <c r="C471" s="13"/>
      <c r="D471" s="13"/>
      <c r="E471" s="13"/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5">
        <v>0.99662200000000001</v>
      </c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5">
        <v>2.3649999999999999E-3</v>
      </c>
      <c r="CO471" s="13"/>
      <c r="CP471" s="15">
        <v>1.013E-3</v>
      </c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6">
        <f>SUM(H471:DL471)</f>
        <v>1</v>
      </c>
    </row>
    <row r="472" spans="1:117" x14ac:dyDescent="0.3">
      <c r="A472" s="17" t="s">
        <v>467</v>
      </c>
      <c r="B472" s="13" t="s">
        <v>468</v>
      </c>
      <c r="C472" s="13" t="s">
        <v>135</v>
      </c>
      <c r="D472" s="13">
        <v>5328.62</v>
      </c>
      <c r="E472" s="13">
        <f>9332.7089*B2</f>
        <v>9332.7088999999996</v>
      </c>
      <c r="F472" s="13">
        <f>D472*E472</f>
        <v>49730459.298717998</v>
      </c>
      <c r="G472" s="14">
        <f>F472/A1</f>
        <v>6.3757943827069837E-4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8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8"/>
      <c r="CO472" s="13"/>
      <c r="CP472" s="18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9"/>
    </row>
    <row r="473" spans="1:117" x14ac:dyDescent="0.3">
      <c r="A473" s="12"/>
      <c r="B473" s="13"/>
      <c r="C473" s="13"/>
      <c r="D473" s="13"/>
      <c r="E473" s="13"/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20">
        <f>+$D472*BF471</f>
        <v>5310.61992164</v>
      </c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20">
        <f>+$D472*CN471</f>
        <v>12.6021863</v>
      </c>
      <c r="CO473" s="13"/>
      <c r="CP473" s="20">
        <f>+$D472*CP471</f>
        <v>5.3978920600000002</v>
      </c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21">
        <f>SUM(H473:DL473)</f>
        <v>5328.62</v>
      </c>
    </row>
    <row r="474" spans="1:117" x14ac:dyDescent="0.3">
      <c r="A474" s="12"/>
      <c r="B474" s="13"/>
      <c r="C474" s="13"/>
      <c r="D474" s="13"/>
      <c r="E474" s="13"/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5">
        <v>0.89510400000000001</v>
      </c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5">
        <v>2.4476000000000001E-2</v>
      </c>
      <c r="CO474" s="15">
        <v>3.2634000000000003E-2</v>
      </c>
      <c r="CP474" s="15">
        <v>6.9930000000000001E-3</v>
      </c>
      <c r="CQ474" s="15">
        <v>3.4970000000000001E-3</v>
      </c>
      <c r="CR474" s="15">
        <v>1.3986E-2</v>
      </c>
      <c r="CS474" s="13"/>
      <c r="CT474" s="13"/>
      <c r="CU474" s="13"/>
      <c r="CV474" s="15">
        <v>8.1589999999999996E-3</v>
      </c>
      <c r="CW474" s="13"/>
      <c r="CX474" s="15">
        <v>6.9930000000000001E-3</v>
      </c>
      <c r="CY474" s="15">
        <v>3.4970000000000001E-3</v>
      </c>
      <c r="CZ474" s="15">
        <v>4.6600000000000001E-3</v>
      </c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6">
        <f>SUM(H474:DL474)</f>
        <v>0.99999900000000019</v>
      </c>
    </row>
    <row r="475" spans="1:117" x14ac:dyDescent="0.3">
      <c r="A475" s="17" t="s">
        <v>469</v>
      </c>
      <c r="B475" s="13" t="s">
        <v>470</v>
      </c>
      <c r="C475" s="13" t="s">
        <v>135</v>
      </c>
      <c r="D475" s="13">
        <v>11717.75</v>
      </c>
      <c r="E475" s="13">
        <f>20797.3682*B2</f>
        <v>20797.368200000001</v>
      </c>
      <c r="F475" s="13">
        <f>D475*E475</f>
        <v>243698361.22555</v>
      </c>
      <c r="G475" s="14">
        <f>F475/A1</f>
        <v>3.1243842596418848E-3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8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8"/>
      <c r="CO475" s="18"/>
      <c r="CP475" s="18"/>
      <c r="CQ475" s="18"/>
      <c r="CR475" s="18"/>
      <c r="CS475" s="13"/>
      <c r="CT475" s="13"/>
      <c r="CU475" s="13"/>
      <c r="CV475" s="18"/>
      <c r="CW475" s="13"/>
      <c r="CX475" s="18"/>
      <c r="CY475" s="18"/>
      <c r="CZ475" s="18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9"/>
    </row>
    <row r="476" spans="1:117" x14ac:dyDescent="0.3">
      <c r="A476" s="12"/>
      <c r="B476" s="13"/>
      <c r="C476" s="13"/>
      <c r="D476" s="13"/>
      <c r="E476" s="13"/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20">
        <f>+$D475*BF474</f>
        <v>10488.604896000001</v>
      </c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20">
        <f>+$D475*CN474</f>
        <v>286.80364900000001</v>
      </c>
      <c r="CO476" s="20">
        <f>+$D475*CO474</f>
        <v>382.39705350000003</v>
      </c>
      <c r="CP476" s="20">
        <f>+$D475*CP474</f>
        <v>81.942225750000006</v>
      </c>
      <c r="CQ476" s="20">
        <f>+$D475*CQ474</f>
        <v>40.976971750000004</v>
      </c>
      <c r="CR476" s="20">
        <f>+$D475*CR474</f>
        <v>163.88445150000001</v>
      </c>
      <c r="CS476" s="13"/>
      <c r="CT476" s="13"/>
      <c r="CU476" s="13"/>
      <c r="CV476" s="20">
        <f>+$D475*CV474</f>
        <v>95.605122249999994</v>
      </c>
      <c r="CW476" s="13"/>
      <c r="CX476" s="20">
        <f>+$D475*CX474</f>
        <v>81.942225750000006</v>
      </c>
      <c r="CY476" s="20">
        <f>+$D475*CY474</f>
        <v>40.976971750000004</v>
      </c>
      <c r="CZ476" s="20">
        <f>+$D475*CZ474</f>
        <v>54.604714999999999</v>
      </c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21">
        <f>SUM(H476:DL476)</f>
        <v>11717.738282249999</v>
      </c>
    </row>
    <row r="477" spans="1:117" x14ac:dyDescent="0.3">
      <c r="A477" s="12"/>
      <c r="B477" s="13"/>
      <c r="C477" s="13"/>
      <c r="D477" s="13"/>
      <c r="E477" s="13"/>
      <c r="F477" s="13"/>
      <c r="G477" s="1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5">
        <v>0.90016700000000005</v>
      </c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5">
        <v>5.5905999999999997E-2</v>
      </c>
      <c r="CO477" s="13"/>
      <c r="CP477" s="15">
        <v>2.3959999999999999E-2</v>
      </c>
      <c r="CQ477" s="15">
        <v>6.9880000000000003E-3</v>
      </c>
      <c r="CR477" s="15">
        <v>6.9880000000000003E-3</v>
      </c>
      <c r="CS477" s="13"/>
      <c r="CT477" s="15">
        <v>5.9909999999999998E-3</v>
      </c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6">
        <f>SUM(H477:DL477)</f>
        <v>1</v>
      </c>
    </row>
    <row r="478" spans="1:117" x14ac:dyDescent="0.3">
      <c r="A478" s="17" t="s">
        <v>471</v>
      </c>
      <c r="B478" s="13" t="s">
        <v>472</v>
      </c>
      <c r="C478" s="13" t="s">
        <v>135</v>
      </c>
      <c r="D478" s="13">
        <v>10711.83</v>
      </c>
      <c r="E478" s="13">
        <f>17840.7441*B2</f>
        <v>17840.7441</v>
      </c>
      <c r="F478" s="13">
        <f>D478*E478</f>
        <v>191107017.87270299</v>
      </c>
      <c r="G478" s="14">
        <f>F478/A1</f>
        <v>2.4501262771970287E-3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8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8"/>
      <c r="CO478" s="13"/>
      <c r="CP478" s="18"/>
      <c r="CQ478" s="18"/>
      <c r="CR478" s="18"/>
      <c r="CS478" s="13"/>
      <c r="CT478" s="18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9"/>
    </row>
    <row r="479" spans="1:117" x14ac:dyDescent="0.3">
      <c r="A479" s="12"/>
      <c r="B479" s="13"/>
      <c r="C479" s="13"/>
      <c r="D479" s="13"/>
      <c r="E479" s="13"/>
      <c r="F479" s="13"/>
      <c r="G479" s="1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20">
        <f>+$D478*BF477</f>
        <v>9642.4358756100009</v>
      </c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20">
        <f>+$D478*CN477</f>
        <v>598.85556797999993</v>
      </c>
      <c r="CO479" s="13"/>
      <c r="CP479" s="20">
        <f>+$D478*CP477</f>
        <v>256.65544679999999</v>
      </c>
      <c r="CQ479" s="20">
        <f>+$D478*CQ477</f>
        <v>74.854268040000008</v>
      </c>
      <c r="CR479" s="20">
        <f>+$D478*CR477</f>
        <v>74.854268040000008</v>
      </c>
      <c r="CS479" s="13"/>
      <c r="CT479" s="20">
        <f>+$D478*CT477</f>
        <v>64.174573530000004</v>
      </c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21">
        <f>SUM(H479:DL479)</f>
        <v>10711.83</v>
      </c>
    </row>
    <row r="480" spans="1:117" x14ac:dyDescent="0.3">
      <c r="A480" s="12"/>
      <c r="B480" s="13"/>
      <c r="C480" s="13"/>
      <c r="D480" s="13"/>
      <c r="E480" s="13"/>
      <c r="F480" s="13"/>
      <c r="G480" s="1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5">
        <v>0.96817699999999995</v>
      </c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5">
        <v>1.8563E-2</v>
      </c>
      <c r="CN480" s="13"/>
      <c r="CO480" s="15">
        <v>1.0076999999999999E-2</v>
      </c>
      <c r="CP480" s="15">
        <v>1.591E-3</v>
      </c>
      <c r="CQ480" s="15">
        <v>1.5920000000000001E-3</v>
      </c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6">
        <f>SUM(H480:DL480)</f>
        <v>1</v>
      </c>
    </row>
    <row r="481" spans="1:117" x14ac:dyDescent="0.3">
      <c r="A481" s="17" t="s">
        <v>473</v>
      </c>
      <c r="B481" s="13" t="s">
        <v>474</v>
      </c>
      <c r="C481" s="13" t="s">
        <v>135</v>
      </c>
      <c r="D481" s="13">
        <v>7921.97</v>
      </c>
      <c r="E481" s="13">
        <f>21830.0986*B2</f>
        <v>21830.098600000001</v>
      </c>
      <c r="F481" s="13">
        <f>D481*E481</f>
        <v>172937386.20624202</v>
      </c>
      <c r="G481" s="14">
        <f>F481/A1</f>
        <v>2.2171788298006138E-3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8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8"/>
      <c r="CN481" s="13"/>
      <c r="CO481" s="18"/>
      <c r="CP481" s="18"/>
      <c r="CQ481" s="18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9"/>
    </row>
    <row r="482" spans="1:117" x14ac:dyDescent="0.3">
      <c r="A482" s="12"/>
      <c r="B482" s="13"/>
      <c r="C482" s="13"/>
      <c r="D482" s="13"/>
      <c r="E482" s="13"/>
      <c r="F482" s="13"/>
      <c r="G482" s="1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20">
        <f>+$D481*BF480</f>
        <v>7669.8691486899997</v>
      </c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20">
        <f>+$D481*CM480</f>
        <v>147.05552911000001</v>
      </c>
      <c r="CN482" s="13"/>
      <c r="CO482" s="20">
        <f>+$D481*CO480</f>
        <v>79.82969168999999</v>
      </c>
      <c r="CP482" s="20">
        <f>+$D481*CP480</f>
        <v>12.603854269999999</v>
      </c>
      <c r="CQ482" s="20">
        <f>+$D481*CQ480</f>
        <v>12.611776240000001</v>
      </c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21">
        <f>SUM(H482:DL482)</f>
        <v>7921.9699999999993</v>
      </c>
    </row>
    <row r="483" spans="1:117" x14ac:dyDescent="0.3">
      <c r="A483" s="12"/>
      <c r="B483" s="13"/>
      <c r="C483" s="13"/>
      <c r="D483" s="13"/>
      <c r="E483" s="13"/>
      <c r="F483" s="13"/>
      <c r="G483" s="1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5">
        <v>0.95812399999999998</v>
      </c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5">
        <v>1.8436000000000001E-2</v>
      </c>
      <c r="CN483" s="15">
        <v>6.1450000000000003E-3</v>
      </c>
      <c r="CO483" s="15">
        <v>1.3344E-2</v>
      </c>
      <c r="CP483" s="15">
        <v>3.9509999999999997E-3</v>
      </c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6">
        <f>SUM(H483:DL483)</f>
        <v>1</v>
      </c>
    </row>
    <row r="484" spans="1:117" x14ac:dyDescent="0.3">
      <c r="A484" s="17" t="s">
        <v>475</v>
      </c>
      <c r="B484" s="13" t="s">
        <v>476</v>
      </c>
      <c r="C484" s="13" t="s">
        <v>135</v>
      </c>
      <c r="D484" s="13">
        <v>8956.34</v>
      </c>
      <c r="E484" s="13">
        <f>24891.2236*B2</f>
        <v>24891.223600000001</v>
      </c>
      <c r="F484" s="13">
        <f>D484*E484</f>
        <v>222934261.57762402</v>
      </c>
      <c r="G484" s="14">
        <f>F484/A1</f>
        <v>2.8581739093573714E-3</v>
      </c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8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8"/>
      <c r="CN484" s="18"/>
      <c r="CO484" s="18"/>
      <c r="CP484" s="18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9"/>
    </row>
    <row r="485" spans="1:117" x14ac:dyDescent="0.3">
      <c r="A485" s="12"/>
      <c r="B485" s="13"/>
      <c r="C485" s="13"/>
      <c r="D485" s="13"/>
      <c r="E485" s="13"/>
      <c r="F485" s="13"/>
      <c r="G485" s="1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20">
        <f>+$D484*BF483</f>
        <v>8581.2843061599997</v>
      </c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20">
        <f>+$D484*CM483</f>
        <v>165.11908424000001</v>
      </c>
      <c r="CN485" s="20">
        <f>+$D484*CN483</f>
        <v>55.036709300000005</v>
      </c>
      <c r="CO485" s="20">
        <f>+$D484*CO483</f>
        <v>119.51340096</v>
      </c>
      <c r="CP485" s="20">
        <f>+$D484*CP483</f>
        <v>35.38649934</v>
      </c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21">
        <f>SUM(H485:DL485)</f>
        <v>8956.34</v>
      </c>
    </row>
    <row r="486" spans="1:117" x14ac:dyDescent="0.3">
      <c r="A486" s="8" t="s">
        <v>477</v>
      </c>
      <c r="B486" s="9" t="s">
        <v>478</v>
      </c>
      <c r="C486" s="9"/>
      <c r="D486" s="9"/>
      <c r="E486" s="9"/>
      <c r="F486" s="9"/>
      <c r="G486" s="1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11"/>
    </row>
    <row r="487" spans="1:117" x14ac:dyDescent="0.3">
      <c r="A487" s="12"/>
      <c r="B487" s="13"/>
      <c r="C487" s="13"/>
      <c r="D487" s="13"/>
      <c r="E487" s="13"/>
      <c r="F487" s="13"/>
      <c r="G487" s="1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5">
        <v>0.916632</v>
      </c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5">
        <v>7.7809999999999997E-3</v>
      </c>
      <c r="CO487" s="15">
        <v>2.7234000000000001E-2</v>
      </c>
      <c r="CP487" s="15">
        <v>1.9453000000000002E-2</v>
      </c>
      <c r="CQ487" s="15">
        <v>1.6670000000000001E-3</v>
      </c>
      <c r="CR487" s="15">
        <v>5.0020000000000004E-3</v>
      </c>
      <c r="CS487" s="15">
        <v>8.3370000000000007E-3</v>
      </c>
      <c r="CT487" s="15">
        <v>8.3370000000000007E-3</v>
      </c>
      <c r="CU487" s="13"/>
      <c r="CV487" s="13"/>
      <c r="CW487" s="13"/>
      <c r="CX487" s="15">
        <v>5.5570000000000003E-3</v>
      </c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6">
        <f>SUM(H487:DL487)</f>
        <v>1</v>
      </c>
    </row>
    <row r="488" spans="1:117" x14ac:dyDescent="0.3">
      <c r="A488" s="17" t="s">
        <v>479</v>
      </c>
      <c r="B488" s="13" t="s">
        <v>480</v>
      </c>
      <c r="C488" s="13" t="s">
        <v>135</v>
      </c>
      <c r="D488" s="13">
        <v>1113.02</v>
      </c>
      <c r="E488" s="13">
        <f>129419.0614*B2</f>
        <v>129419.06140000001</v>
      </c>
      <c r="F488" s="13">
        <f>D488*E488</f>
        <v>144046003.719428</v>
      </c>
      <c r="G488" s="14">
        <f>F488/A1</f>
        <v>1.846771001749815E-3</v>
      </c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8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8"/>
      <c r="CO488" s="18"/>
      <c r="CP488" s="18"/>
      <c r="CQ488" s="18"/>
      <c r="CR488" s="18"/>
      <c r="CS488" s="18"/>
      <c r="CT488" s="18"/>
      <c r="CU488" s="13"/>
      <c r="CV488" s="13"/>
      <c r="CW488" s="13"/>
      <c r="CX488" s="18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9"/>
    </row>
    <row r="489" spans="1:117" x14ac:dyDescent="0.3">
      <c r="A489" s="12"/>
      <c r="B489" s="13"/>
      <c r="C489" s="13"/>
      <c r="D489" s="13"/>
      <c r="E489" s="13"/>
      <c r="F489" s="13"/>
      <c r="G489" s="1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20">
        <f>+$D488*BF487</f>
        <v>1020.22974864</v>
      </c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20">
        <f t="shared" ref="CN489:CT489" si="17">+$D488*CN487</f>
        <v>8.6604086200000001</v>
      </c>
      <c r="CO489" s="20">
        <f t="shared" si="17"/>
        <v>30.31198668</v>
      </c>
      <c r="CP489" s="20">
        <f t="shared" si="17"/>
        <v>21.651578060000002</v>
      </c>
      <c r="CQ489" s="20">
        <f t="shared" si="17"/>
        <v>1.85540434</v>
      </c>
      <c r="CR489" s="20">
        <f t="shared" si="17"/>
        <v>5.5673260400000002</v>
      </c>
      <c r="CS489" s="20">
        <f t="shared" si="17"/>
        <v>9.2792477400000006</v>
      </c>
      <c r="CT489" s="20">
        <f t="shared" si="17"/>
        <v>9.2792477400000006</v>
      </c>
      <c r="CU489" s="13"/>
      <c r="CV489" s="13"/>
      <c r="CW489" s="13"/>
      <c r="CX489" s="20">
        <f>+$D488*CX487</f>
        <v>6.1850521399999998</v>
      </c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21">
        <f>SUM(H489:DL489)</f>
        <v>1113.02</v>
      </c>
    </row>
    <row r="490" spans="1:117" x14ac:dyDescent="0.3">
      <c r="A490" s="12"/>
      <c r="B490" s="13"/>
      <c r="C490" s="13"/>
      <c r="D490" s="13"/>
      <c r="E490" s="13"/>
      <c r="F490" s="13"/>
      <c r="G490" s="1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5">
        <v>0.997587</v>
      </c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5">
        <v>1.689E-3</v>
      </c>
      <c r="CO490" s="13"/>
      <c r="CP490" s="15">
        <v>7.2400000000000003E-4</v>
      </c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6">
        <f>SUM(H490:DL490)</f>
        <v>1</v>
      </c>
    </row>
    <row r="491" spans="1:117" x14ac:dyDescent="0.3">
      <c r="A491" s="17" t="s">
        <v>481</v>
      </c>
      <c r="B491" s="13" t="s">
        <v>482</v>
      </c>
      <c r="C491" s="13" t="s">
        <v>135</v>
      </c>
      <c r="D491" s="13">
        <v>120.16</v>
      </c>
      <c r="E491" s="13">
        <f>139390.4458*B2</f>
        <v>139390.44579999999</v>
      </c>
      <c r="F491" s="13">
        <f>D491*E491</f>
        <v>16749155.967327997</v>
      </c>
      <c r="G491" s="14">
        <f>F491/A1</f>
        <v>2.147359506376526E-4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8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8"/>
      <c r="CO491" s="13"/>
      <c r="CP491" s="18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9"/>
    </row>
    <row r="492" spans="1:117" x14ac:dyDescent="0.3">
      <c r="A492" s="12"/>
      <c r="B492" s="13"/>
      <c r="C492" s="13"/>
      <c r="D492" s="13"/>
      <c r="E492" s="13"/>
      <c r="F492" s="13"/>
      <c r="G492" s="1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20">
        <f>+$D491*BF490</f>
        <v>119.87005392</v>
      </c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20">
        <f>+$D491*CN490</f>
        <v>0.20295023999999998</v>
      </c>
      <c r="CO492" s="13"/>
      <c r="CP492" s="20">
        <f>+$D491*CP490</f>
        <v>8.6995840000000005E-2</v>
      </c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21">
        <f>SUM(H492:DL492)</f>
        <v>120.16000000000001</v>
      </c>
    </row>
    <row r="493" spans="1:117" x14ac:dyDescent="0.3">
      <c r="A493" s="12"/>
      <c r="B493" s="13"/>
      <c r="C493" s="13"/>
      <c r="D493" s="13"/>
      <c r="E493" s="13"/>
      <c r="F493" s="13"/>
      <c r="G493" s="1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5">
        <v>0.93499200000000005</v>
      </c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5">
        <v>1.5169E-2</v>
      </c>
      <c r="CO493" s="15">
        <v>2.0225E-2</v>
      </c>
      <c r="CP493" s="15">
        <v>4.3340000000000002E-3</v>
      </c>
      <c r="CQ493" s="15">
        <v>2.1670000000000001E-3</v>
      </c>
      <c r="CR493" s="15">
        <v>8.6680000000000004E-3</v>
      </c>
      <c r="CS493" s="13"/>
      <c r="CT493" s="13"/>
      <c r="CU493" s="13"/>
      <c r="CV493" s="15">
        <v>5.0559999999999997E-3</v>
      </c>
      <c r="CW493" s="13"/>
      <c r="CX493" s="15">
        <v>4.3340000000000002E-3</v>
      </c>
      <c r="CY493" s="15">
        <v>2.1670000000000001E-3</v>
      </c>
      <c r="CZ493" s="15">
        <v>2.8879999999999999E-3</v>
      </c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6">
        <f>SUM(H493:DL493)</f>
        <v>1</v>
      </c>
    </row>
    <row r="494" spans="1:117" x14ac:dyDescent="0.3">
      <c r="A494" s="17" t="s">
        <v>483</v>
      </c>
      <c r="B494" s="13" t="s">
        <v>484</v>
      </c>
      <c r="C494" s="13" t="s">
        <v>135</v>
      </c>
      <c r="D494" s="13">
        <v>310.27</v>
      </c>
      <c r="E494" s="13">
        <f>268443.993*B2</f>
        <v>268443.99300000002</v>
      </c>
      <c r="F494" s="13">
        <f>D494*E494</f>
        <v>83290117.708110005</v>
      </c>
      <c r="G494" s="14">
        <f>F494/A1</f>
        <v>1.0678378444657979E-3</v>
      </c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8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8"/>
      <c r="CO494" s="18"/>
      <c r="CP494" s="18"/>
      <c r="CQ494" s="18"/>
      <c r="CR494" s="18"/>
      <c r="CS494" s="13"/>
      <c r="CT494" s="13"/>
      <c r="CU494" s="13"/>
      <c r="CV494" s="18"/>
      <c r="CW494" s="13"/>
      <c r="CX494" s="18"/>
      <c r="CY494" s="18"/>
      <c r="CZ494" s="18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9"/>
    </row>
    <row r="495" spans="1:117" x14ac:dyDescent="0.3">
      <c r="A495" s="12"/>
      <c r="B495" s="13"/>
      <c r="C495" s="13"/>
      <c r="D495" s="13"/>
      <c r="E495" s="13"/>
      <c r="F495" s="13"/>
      <c r="G495" s="1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20">
        <f>+$D494*BF493</f>
        <v>290.09996783999998</v>
      </c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20">
        <f>+$D494*CN493</f>
        <v>4.7064856299999995</v>
      </c>
      <c r="CO495" s="20">
        <f>+$D494*CO493</f>
        <v>6.2752107499999994</v>
      </c>
      <c r="CP495" s="20">
        <f>+$D494*CP493</f>
        <v>1.3447101799999999</v>
      </c>
      <c r="CQ495" s="20">
        <f>+$D494*CQ493</f>
        <v>0.67235508999999993</v>
      </c>
      <c r="CR495" s="20">
        <f>+$D494*CR493</f>
        <v>2.6894203599999997</v>
      </c>
      <c r="CS495" s="13"/>
      <c r="CT495" s="13"/>
      <c r="CU495" s="13"/>
      <c r="CV495" s="20">
        <f>+$D494*CV493</f>
        <v>1.5687251199999999</v>
      </c>
      <c r="CW495" s="13"/>
      <c r="CX495" s="20">
        <f>+$D494*CX493</f>
        <v>1.3447101799999999</v>
      </c>
      <c r="CY495" s="20">
        <f>+$D494*CY493</f>
        <v>0.67235508999999993</v>
      </c>
      <c r="CZ495" s="20">
        <f>+$D494*CZ493</f>
        <v>0.89605975999999998</v>
      </c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21">
        <f>SUM(H495:DL495)</f>
        <v>310.26999999999992</v>
      </c>
    </row>
    <row r="496" spans="1:117" x14ac:dyDescent="0.3">
      <c r="A496" s="12"/>
      <c r="B496" s="13"/>
      <c r="C496" s="13"/>
      <c r="D496" s="13"/>
      <c r="E496" s="13"/>
      <c r="F496" s="13"/>
      <c r="G496" s="1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5">
        <v>0.92411399999999999</v>
      </c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5">
        <v>4.2495999999999999E-2</v>
      </c>
      <c r="CO496" s="13"/>
      <c r="CP496" s="15">
        <v>1.8213E-2</v>
      </c>
      <c r="CQ496" s="15">
        <v>5.3119999999999999E-3</v>
      </c>
      <c r="CR496" s="15">
        <v>5.3119999999999999E-3</v>
      </c>
      <c r="CS496" s="13"/>
      <c r="CT496" s="15">
        <v>4.5529999999999998E-3</v>
      </c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6">
        <f>SUM(H496:DL496)</f>
        <v>1</v>
      </c>
    </row>
    <row r="497" spans="1:117" x14ac:dyDescent="0.3">
      <c r="A497" s="17" t="s">
        <v>485</v>
      </c>
      <c r="B497" s="13" t="s">
        <v>486</v>
      </c>
      <c r="C497" s="13" t="s">
        <v>135</v>
      </c>
      <c r="D497" s="13">
        <v>290.83</v>
      </c>
      <c r="E497" s="13">
        <f>225969.6309*B2</f>
        <v>225969.63089999999</v>
      </c>
      <c r="F497" s="13">
        <f>D497*E497</f>
        <v>65718747.754646994</v>
      </c>
      <c r="G497" s="14">
        <f>F497/A1</f>
        <v>8.4256053268226539E-4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8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8"/>
      <c r="CO497" s="13"/>
      <c r="CP497" s="18"/>
      <c r="CQ497" s="18"/>
      <c r="CR497" s="18"/>
      <c r="CS497" s="13"/>
      <c r="CT497" s="18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9"/>
    </row>
    <row r="498" spans="1:117" x14ac:dyDescent="0.3">
      <c r="A498" s="12"/>
      <c r="B498" s="13"/>
      <c r="C498" s="13"/>
      <c r="D498" s="13"/>
      <c r="E498" s="13"/>
      <c r="F498" s="13"/>
      <c r="G498" s="1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20">
        <f>+$D497*BF496</f>
        <v>268.76007461999995</v>
      </c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20">
        <f>+$D497*CN496</f>
        <v>12.35911168</v>
      </c>
      <c r="CO498" s="13"/>
      <c r="CP498" s="20">
        <f>+$D497*CP496</f>
        <v>5.2968867899999994</v>
      </c>
      <c r="CQ498" s="20">
        <f>+$D497*CQ496</f>
        <v>1.54488896</v>
      </c>
      <c r="CR498" s="20">
        <f>+$D497*CR496</f>
        <v>1.54488896</v>
      </c>
      <c r="CS498" s="13"/>
      <c r="CT498" s="20">
        <f>+$D497*CT496</f>
        <v>1.3241489899999999</v>
      </c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21">
        <f>SUM(H498:DL498)</f>
        <v>290.82999999999993</v>
      </c>
    </row>
    <row r="499" spans="1:117" x14ac:dyDescent="0.3">
      <c r="A499" s="12"/>
      <c r="B499" s="13"/>
      <c r="C499" s="13"/>
      <c r="D499" s="13"/>
      <c r="E499" s="13"/>
      <c r="F499" s="13"/>
      <c r="G499" s="1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5">
        <v>0.98286099999999998</v>
      </c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5">
        <v>9.9979999999999999E-3</v>
      </c>
      <c r="CN499" s="13"/>
      <c r="CO499" s="15">
        <v>5.4270000000000004E-3</v>
      </c>
      <c r="CP499" s="15">
        <v>8.5700000000000001E-4</v>
      </c>
      <c r="CQ499" s="15">
        <v>8.5700000000000001E-4</v>
      </c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6">
        <f>SUM(H499:DL499)</f>
        <v>0.99999999999999989</v>
      </c>
    </row>
    <row r="500" spans="1:117" x14ac:dyDescent="0.3">
      <c r="A500" s="17" t="s">
        <v>487</v>
      </c>
      <c r="B500" s="13" t="s">
        <v>488</v>
      </c>
      <c r="C500" s="13" t="s">
        <v>135</v>
      </c>
      <c r="D500" s="13">
        <v>219.97</v>
      </c>
      <c r="E500" s="13">
        <f>268443.993*B2</f>
        <v>268443.99300000002</v>
      </c>
      <c r="F500" s="13">
        <f>D500*E500</f>
        <v>59049625.140210003</v>
      </c>
      <c r="G500" s="14">
        <f>F500/A1</f>
        <v>7.5705769377362167E-4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8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8"/>
      <c r="CN500" s="13"/>
      <c r="CO500" s="18"/>
      <c r="CP500" s="18"/>
      <c r="CQ500" s="18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9"/>
    </row>
    <row r="501" spans="1:117" x14ac:dyDescent="0.3">
      <c r="A501" s="12"/>
      <c r="B501" s="13"/>
      <c r="C501" s="13"/>
      <c r="D501" s="13"/>
      <c r="E501" s="13"/>
      <c r="F501" s="13"/>
      <c r="G501" s="1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20">
        <f>+$D500*BF499</f>
        <v>216.19993417000001</v>
      </c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20">
        <f>+$D500*CM499</f>
        <v>2.1992600599999999</v>
      </c>
      <c r="CN501" s="13"/>
      <c r="CO501" s="20">
        <f>+$D500*CO499</f>
        <v>1.19377719</v>
      </c>
      <c r="CP501" s="20">
        <f>+$D500*CP499</f>
        <v>0.18851429</v>
      </c>
      <c r="CQ501" s="20">
        <f>+$D500*CQ499</f>
        <v>0.18851429</v>
      </c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21">
        <f>SUM(H501:DL501)</f>
        <v>219.97</v>
      </c>
    </row>
    <row r="502" spans="1:117" x14ac:dyDescent="0.3">
      <c r="A502" s="12"/>
      <c r="B502" s="13"/>
      <c r="C502" s="13"/>
      <c r="D502" s="13"/>
      <c r="E502" s="13"/>
      <c r="F502" s="13"/>
      <c r="G502" s="1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5">
        <v>0.96696899999999997</v>
      </c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5">
        <v>1.4541999999999999E-2</v>
      </c>
      <c r="CN502" s="15">
        <v>4.8469999999999997E-3</v>
      </c>
      <c r="CO502" s="15">
        <v>1.0526000000000001E-2</v>
      </c>
      <c r="CP502" s="15">
        <v>3.1159999999999998E-3</v>
      </c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6">
        <f>SUM(H502:DL502)</f>
        <v>1</v>
      </c>
    </row>
    <row r="503" spans="1:117" x14ac:dyDescent="0.3">
      <c r="A503" s="17" t="s">
        <v>489</v>
      </c>
      <c r="B503" s="13" t="s">
        <v>490</v>
      </c>
      <c r="C503" s="13" t="s">
        <v>135</v>
      </c>
      <c r="D503" s="13">
        <v>283.67</v>
      </c>
      <c r="E503" s="13">
        <f>268443.993*B2</f>
        <v>268443.99300000002</v>
      </c>
      <c r="F503" s="13">
        <f>D503*E503</f>
        <v>76149507.494310006</v>
      </c>
      <c r="G503" s="14">
        <f>F503/A1</f>
        <v>9.7629020317662981E-4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8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8"/>
      <c r="CN503" s="18"/>
      <c r="CO503" s="18"/>
      <c r="CP503" s="18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9"/>
    </row>
    <row r="504" spans="1:117" x14ac:dyDescent="0.3">
      <c r="A504" s="12"/>
      <c r="B504" s="13"/>
      <c r="C504" s="13"/>
      <c r="D504" s="13"/>
      <c r="E504" s="13"/>
      <c r="F504" s="13"/>
      <c r="G504" s="1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20">
        <f>+$D503*BF502</f>
        <v>274.30009623000001</v>
      </c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20">
        <f>+$D503*CM502</f>
        <v>4.1251291400000003</v>
      </c>
      <c r="CN504" s="20">
        <f>+$D503*CN502</f>
        <v>1.37494849</v>
      </c>
      <c r="CO504" s="20">
        <f>+$D503*CO502</f>
        <v>2.9859104200000002</v>
      </c>
      <c r="CP504" s="20">
        <f>+$D503*CP502</f>
        <v>0.88391571999999996</v>
      </c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21">
        <f>SUM(H504:DL504)</f>
        <v>283.67</v>
      </c>
    </row>
    <row r="505" spans="1:117" x14ac:dyDescent="0.3">
      <c r="A505" s="8" t="s">
        <v>491</v>
      </c>
      <c r="B505" s="9" t="s">
        <v>492</v>
      </c>
      <c r="C505" s="9"/>
      <c r="D505" s="9"/>
      <c r="E505" s="9"/>
      <c r="F505" s="9"/>
      <c r="G505" s="1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11"/>
    </row>
    <row r="506" spans="1:117" x14ac:dyDescent="0.3">
      <c r="A506" s="12"/>
      <c r="B506" s="13"/>
      <c r="C506" s="13"/>
      <c r="D506" s="13"/>
      <c r="E506" s="13"/>
      <c r="F506" s="13"/>
      <c r="G506" s="1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5">
        <v>0.99926800000000005</v>
      </c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5">
        <v>6.7999999999999999E-5</v>
      </c>
      <c r="CO506" s="15">
        <v>2.3900000000000001E-4</v>
      </c>
      <c r="CP506" s="15">
        <v>1.7100000000000001E-4</v>
      </c>
      <c r="CQ506" s="15">
        <v>1.5E-5</v>
      </c>
      <c r="CR506" s="15">
        <v>4.3999999999999999E-5</v>
      </c>
      <c r="CS506" s="15">
        <v>7.2999999999999999E-5</v>
      </c>
      <c r="CT506" s="15">
        <v>7.2999999999999999E-5</v>
      </c>
      <c r="CU506" s="13"/>
      <c r="CV506" s="13"/>
      <c r="CW506" s="13"/>
      <c r="CX506" s="15">
        <v>4.8999999999999998E-5</v>
      </c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6">
        <f>SUM(H506:DL506)</f>
        <v>1</v>
      </c>
    </row>
    <row r="507" spans="1:117" x14ac:dyDescent="0.3">
      <c r="A507" s="17" t="s">
        <v>493</v>
      </c>
      <c r="B507" s="13" t="s">
        <v>494</v>
      </c>
      <c r="C507" s="13" t="s">
        <v>126</v>
      </c>
      <c r="D507" s="13">
        <v>5056</v>
      </c>
      <c r="E507" s="13">
        <f>131268.593*B2</f>
        <v>131268.59299999999</v>
      </c>
      <c r="F507" s="13">
        <f>D507*E507</f>
        <v>663694006.20799994</v>
      </c>
      <c r="G507" s="14">
        <f>F507/A1</f>
        <v>8.5090235969856529E-3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8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8"/>
      <c r="CO507" s="18"/>
      <c r="CP507" s="18"/>
      <c r="CQ507" s="18"/>
      <c r="CR507" s="18"/>
      <c r="CS507" s="18"/>
      <c r="CT507" s="18"/>
      <c r="CU507" s="13"/>
      <c r="CV507" s="13"/>
      <c r="CW507" s="13"/>
      <c r="CX507" s="18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9"/>
    </row>
    <row r="508" spans="1:117" x14ac:dyDescent="0.3">
      <c r="A508" s="12"/>
      <c r="B508" s="13"/>
      <c r="C508" s="13"/>
      <c r="D508" s="13"/>
      <c r="E508" s="13"/>
      <c r="F508" s="13"/>
      <c r="G508" s="1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20">
        <f>+$D507*BF506</f>
        <v>5052.299008</v>
      </c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20">
        <f t="shared" ref="CN508:CT508" si="18">+$D507*CN506</f>
        <v>0.343808</v>
      </c>
      <c r="CO508" s="20">
        <f t="shared" si="18"/>
        <v>1.2083840000000001</v>
      </c>
      <c r="CP508" s="20">
        <f t="shared" si="18"/>
        <v>0.86457600000000001</v>
      </c>
      <c r="CQ508" s="20">
        <f t="shared" si="18"/>
        <v>7.5840000000000005E-2</v>
      </c>
      <c r="CR508" s="20">
        <f t="shared" si="18"/>
        <v>0.222464</v>
      </c>
      <c r="CS508" s="20">
        <f t="shared" si="18"/>
        <v>0.36908799999999997</v>
      </c>
      <c r="CT508" s="20">
        <f t="shared" si="18"/>
        <v>0.36908799999999997</v>
      </c>
      <c r="CU508" s="13"/>
      <c r="CV508" s="13"/>
      <c r="CW508" s="13"/>
      <c r="CX508" s="20">
        <f>+$D507*CX506</f>
        <v>0.24774399999999999</v>
      </c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21">
        <f>SUM(H508:DL508)</f>
        <v>5056.0000000000009</v>
      </c>
    </row>
    <row r="509" spans="1:117" x14ac:dyDescent="0.3">
      <c r="A509" s="12"/>
      <c r="B509" s="13"/>
      <c r="C509" s="13"/>
      <c r="D509" s="13"/>
      <c r="E509" s="13"/>
      <c r="F509" s="13"/>
      <c r="G509" s="1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5">
        <v>0.99756299999999998</v>
      </c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5">
        <v>1.7060000000000001E-3</v>
      </c>
      <c r="CO509" s="13"/>
      <c r="CP509" s="15">
        <v>7.3099999999999999E-4</v>
      </c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6">
        <f>SUM(H509:DL509)</f>
        <v>1</v>
      </c>
    </row>
    <row r="510" spans="1:117" x14ac:dyDescent="0.3">
      <c r="A510" s="17" t="s">
        <v>495</v>
      </c>
      <c r="B510" s="13" t="s">
        <v>496</v>
      </c>
      <c r="C510" s="13" t="s">
        <v>126</v>
      </c>
      <c r="D510" s="13">
        <v>590.94000000000005</v>
      </c>
      <c r="E510" s="13">
        <f>139288.7897*B2</f>
        <v>139288.78969999999</v>
      </c>
      <c r="F510" s="13">
        <f>D510*E510</f>
        <v>82311317.385318011</v>
      </c>
      <c r="G510" s="14">
        <f>F510/A1</f>
        <v>1.0552889364366903E-3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8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8"/>
      <c r="CO510" s="13"/>
      <c r="CP510" s="18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9"/>
    </row>
    <row r="511" spans="1:117" x14ac:dyDescent="0.3">
      <c r="A511" s="12"/>
      <c r="B511" s="13"/>
      <c r="C511" s="13"/>
      <c r="D511" s="13"/>
      <c r="E511" s="13"/>
      <c r="F511" s="13"/>
      <c r="G511" s="1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20">
        <f>+$D510*BF509</f>
        <v>589.49987922000003</v>
      </c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20">
        <f>+$D510*CN509</f>
        <v>1.0081436400000001</v>
      </c>
      <c r="CO511" s="13"/>
      <c r="CP511" s="20">
        <f>+$D510*CP509</f>
        <v>0.43197714000000004</v>
      </c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21">
        <f>SUM(H511:DL511)</f>
        <v>590.93999999999994</v>
      </c>
    </row>
    <row r="512" spans="1:117" x14ac:dyDescent="0.3">
      <c r="A512" s="12"/>
      <c r="B512" s="13"/>
      <c r="C512" s="13"/>
      <c r="D512" s="13"/>
      <c r="E512" s="13"/>
      <c r="F512" s="13"/>
      <c r="G512" s="1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5">
        <v>0.88806499999999999</v>
      </c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5">
        <v>2.6117999999999999E-2</v>
      </c>
      <c r="CO512" s="15">
        <v>3.4824000000000001E-2</v>
      </c>
      <c r="CP512" s="15">
        <v>7.4619999999999999E-3</v>
      </c>
      <c r="CQ512" s="15">
        <v>3.7309999999999999E-3</v>
      </c>
      <c r="CR512" s="15">
        <v>1.4925000000000001E-2</v>
      </c>
      <c r="CS512" s="13"/>
      <c r="CT512" s="13"/>
      <c r="CU512" s="13"/>
      <c r="CV512" s="15">
        <v>8.7060000000000002E-3</v>
      </c>
      <c r="CW512" s="13"/>
      <c r="CX512" s="15">
        <v>7.4619999999999999E-3</v>
      </c>
      <c r="CY512" s="15">
        <v>3.7309999999999999E-3</v>
      </c>
      <c r="CZ512" s="15">
        <v>4.9760000000000004E-3</v>
      </c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6">
        <f>SUM(H512:DL512)</f>
        <v>0.99999999999999989</v>
      </c>
    </row>
    <row r="513" spans="1:117" x14ac:dyDescent="0.3">
      <c r="A513" s="17" t="s">
        <v>497</v>
      </c>
      <c r="B513" s="13" t="s">
        <v>498</v>
      </c>
      <c r="C513" s="13" t="s">
        <v>126</v>
      </c>
      <c r="D513" s="13">
        <v>2023.5</v>
      </c>
      <c r="E513" s="13">
        <f>81077.2967*B2</f>
        <v>81077.296700000006</v>
      </c>
      <c r="F513" s="13">
        <f>D513*E513</f>
        <v>164059909.87245002</v>
      </c>
      <c r="G513" s="14">
        <f>F513/A1</f>
        <v>2.1033633442012994E-3</v>
      </c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8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8"/>
      <c r="CO513" s="18"/>
      <c r="CP513" s="18"/>
      <c r="CQ513" s="18"/>
      <c r="CR513" s="18"/>
      <c r="CS513" s="13"/>
      <c r="CT513" s="13"/>
      <c r="CU513" s="13"/>
      <c r="CV513" s="18"/>
      <c r="CW513" s="13"/>
      <c r="CX513" s="18"/>
      <c r="CY513" s="18"/>
      <c r="CZ513" s="18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9"/>
    </row>
    <row r="514" spans="1:117" x14ac:dyDescent="0.3">
      <c r="A514" s="12"/>
      <c r="B514" s="13"/>
      <c r="C514" s="13"/>
      <c r="D514" s="13"/>
      <c r="E514" s="13"/>
      <c r="F514" s="13"/>
      <c r="G514" s="1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20">
        <f>+$D513*BF512</f>
        <v>1796.9995274999999</v>
      </c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20">
        <f>+$D513*CN512</f>
        <v>52.849772999999999</v>
      </c>
      <c r="CO514" s="20">
        <f>+$D513*CO512</f>
        <v>70.466363999999999</v>
      </c>
      <c r="CP514" s="20">
        <f>+$D513*CP512</f>
        <v>15.099356999999999</v>
      </c>
      <c r="CQ514" s="20">
        <f>+$D513*CQ512</f>
        <v>7.5496784999999997</v>
      </c>
      <c r="CR514" s="20">
        <f>+$D513*CR512</f>
        <v>30.200737500000002</v>
      </c>
      <c r="CS514" s="13"/>
      <c r="CT514" s="13"/>
      <c r="CU514" s="13"/>
      <c r="CV514" s="20">
        <f>+$D513*CV512</f>
        <v>17.616591</v>
      </c>
      <c r="CW514" s="13"/>
      <c r="CX514" s="20">
        <f>+$D513*CX512</f>
        <v>15.099356999999999</v>
      </c>
      <c r="CY514" s="20">
        <f>+$D513*CY512</f>
        <v>7.5496784999999997</v>
      </c>
      <c r="CZ514" s="20">
        <f>+$D513*CZ512</f>
        <v>10.068936000000001</v>
      </c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21">
        <f>SUM(H514:DL514)</f>
        <v>2023.5</v>
      </c>
    </row>
    <row r="515" spans="1:117" x14ac:dyDescent="0.3">
      <c r="A515" s="12"/>
      <c r="B515" s="13"/>
      <c r="C515" s="13"/>
      <c r="D515" s="13"/>
      <c r="E515" s="13"/>
      <c r="F515" s="13"/>
      <c r="G515" s="1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5">
        <v>0.84369799999999995</v>
      </c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5">
        <v>8.7528999999999996E-2</v>
      </c>
      <c r="CO515" s="13"/>
      <c r="CP515" s="15">
        <v>3.7512999999999998E-2</v>
      </c>
      <c r="CQ515" s="15">
        <v>1.0940999999999999E-2</v>
      </c>
      <c r="CR515" s="15">
        <v>1.0940999999999999E-2</v>
      </c>
      <c r="CS515" s="13"/>
      <c r="CT515" s="15">
        <v>9.3779999999999992E-3</v>
      </c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6">
        <f>SUM(H515:DL515)</f>
        <v>0.99999999999999989</v>
      </c>
    </row>
    <row r="516" spans="1:117" x14ac:dyDescent="0.3">
      <c r="A516" s="17" t="s">
        <v>499</v>
      </c>
      <c r="B516" s="13" t="s">
        <v>500</v>
      </c>
      <c r="C516" s="13" t="s">
        <v>126</v>
      </c>
      <c r="D516" s="13">
        <v>1586.35</v>
      </c>
      <c r="E516" s="13">
        <f>77196.4029*B2</f>
        <v>77196.402900000001</v>
      </c>
      <c r="F516" s="13">
        <f>D516*E516</f>
        <v>122460513.74041499</v>
      </c>
      <c r="G516" s="14">
        <f>F516/A1</f>
        <v>1.570029850155993E-3</v>
      </c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8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8"/>
      <c r="CO516" s="13"/>
      <c r="CP516" s="18"/>
      <c r="CQ516" s="18"/>
      <c r="CR516" s="18"/>
      <c r="CS516" s="13"/>
      <c r="CT516" s="18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9"/>
    </row>
    <row r="517" spans="1:117" x14ac:dyDescent="0.3">
      <c r="A517" s="12"/>
      <c r="B517" s="13"/>
      <c r="C517" s="13"/>
      <c r="D517" s="13"/>
      <c r="E517" s="13"/>
      <c r="F517" s="13"/>
      <c r="G517" s="1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20">
        <f>+$D516*BF515</f>
        <v>1338.4003222999997</v>
      </c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20">
        <f>+$D516*CN515</f>
        <v>138.85162914999998</v>
      </c>
      <c r="CO517" s="13"/>
      <c r="CP517" s="20">
        <f>+$D516*CP515</f>
        <v>59.508747549999995</v>
      </c>
      <c r="CQ517" s="20">
        <f>+$D516*CQ515</f>
        <v>17.356255349999998</v>
      </c>
      <c r="CR517" s="20">
        <f>+$D516*CR515</f>
        <v>17.356255349999998</v>
      </c>
      <c r="CS517" s="13"/>
      <c r="CT517" s="20">
        <f>+$D516*CT515</f>
        <v>14.876790299999998</v>
      </c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21">
        <f>SUM(H517:DL517)</f>
        <v>1586.35</v>
      </c>
    </row>
    <row r="518" spans="1:117" x14ac:dyDescent="0.3">
      <c r="A518" s="12"/>
      <c r="B518" s="13"/>
      <c r="C518" s="13"/>
      <c r="D518" s="13"/>
      <c r="E518" s="13"/>
      <c r="F518" s="13"/>
      <c r="G518" s="1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5">
        <v>0.98925799999999997</v>
      </c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5">
        <v>6.2659999999999999E-3</v>
      </c>
      <c r="CN518" s="13"/>
      <c r="CO518" s="15">
        <v>3.4020000000000001E-3</v>
      </c>
      <c r="CP518" s="15">
        <v>5.3700000000000004E-4</v>
      </c>
      <c r="CQ518" s="15">
        <v>5.3700000000000004E-4</v>
      </c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6">
        <f>SUM(H518:DL518)</f>
        <v>1</v>
      </c>
    </row>
    <row r="519" spans="1:117" x14ac:dyDescent="0.3">
      <c r="A519" s="17" t="s">
        <v>501</v>
      </c>
      <c r="B519" s="13" t="s">
        <v>502</v>
      </c>
      <c r="C519" s="13" t="s">
        <v>126</v>
      </c>
      <c r="D519" s="13">
        <v>1434.61</v>
      </c>
      <c r="E519" s="13">
        <f>80226.2582*B2</f>
        <v>80226.258199999997</v>
      </c>
      <c r="F519" s="13">
        <f>D519*E519</f>
        <v>115093392.27630198</v>
      </c>
      <c r="G519" s="14">
        <f>F519/A1</f>
        <v>1.4755781754480085E-3</v>
      </c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8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8"/>
      <c r="CN519" s="13"/>
      <c r="CO519" s="18"/>
      <c r="CP519" s="18"/>
      <c r="CQ519" s="18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9"/>
    </row>
    <row r="520" spans="1:117" x14ac:dyDescent="0.3">
      <c r="A520" s="12"/>
      <c r="B520" s="13"/>
      <c r="C520" s="13"/>
      <c r="D520" s="13"/>
      <c r="E520" s="13"/>
      <c r="F520" s="13"/>
      <c r="G520" s="1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20">
        <f>+$D519*BF518</f>
        <v>1419.1994193799999</v>
      </c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20">
        <f>+$D519*CM518</f>
        <v>8.9892662599999991</v>
      </c>
      <c r="CN520" s="13"/>
      <c r="CO520" s="20">
        <f>+$D519*CO518</f>
        <v>4.8805432199999998</v>
      </c>
      <c r="CP520" s="20">
        <f>+$D519*CP518</f>
        <v>0.77038556999999996</v>
      </c>
      <c r="CQ520" s="20">
        <f>+$D519*CQ518</f>
        <v>0.77038556999999996</v>
      </c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21">
        <f>SUM(H520:DL520)</f>
        <v>1434.6099999999997</v>
      </c>
    </row>
    <row r="521" spans="1:117" x14ac:dyDescent="0.3">
      <c r="A521" s="12"/>
      <c r="B521" s="13"/>
      <c r="C521" s="13"/>
      <c r="D521" s="13"/>
      <c r="E521" s="13"/>
      <c r="F521" s="13"/>
      <c r="G521" s="1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5">
        <v>0.96809199999999995</v>
      </c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5">
        <v>1.4047E-2</v>
      </c>
      <c r="CN521" s="15">
        <v>4.6820000000000004E-3</v>
      </c>
      <c r="CO521" s="15">
        <v>1.0168E-2</v>
      </c>
      <c r="CP521" s="15">
        <v>3.0109999999999998E-3</v>
      </c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6">
        <f>SUM(H521:DL521)</f>
        <v>0.99999999999999989</v>
      </c>
    </row>
    <row r="522" spans="1:117" x14ac:dyDescent="0.3">
      <c r="A522" s="17" t="s">
        <v>503</v>
      </c>
      <c r="B522" s="13" t="s">
        <v>504</v>
      </c>
      <c r="C522" s="13" t="s">
        <v>126</v>
      </c>
      <c r="D522" s="13">
        <v>1850.03</v>
      </c>
      <c r="E522" s="13">
        <f>75123.131*B2</f>
        <v>75123.130999999994</v>
      </c>
      <c r="F522" s="13">
        <f>D522*E522</f>
        <v>138980046.04392999</v>
      </c>
      <c r="G522" s="14">
        <f>F522/A1</f>
        <v>1.781821864046387E-3</v>
      </c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8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8"/>
      <c r="CN522" s="18"/>
      <c r="CO522" s="18"/>
      <c r="CP522" s="18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9"/>
    </row>
    <row r="523" spans="1:117" x14ac:dyDescent="0.3">
      <c r="A523" s="12"/>
      <c r="B523" s="13"/>
      <c r="C523" s="13"/>
      <c r="D523" s="13"/>
      <c r="E523" s="13"/>
      <c r="F523" s="13"/>
      <c r="G523" s="1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20">
        <f>+$D522*BF521</f>
        <v>1790.9992427599998</v>
      </c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20">
        <f>+$D522*CM521</f>
        <v>25.987371410000002</v>
      </c>
      <c r="CN523" s="20">
        <f>+$D522*CN521</f>
        <v>8.6618404600000005</v>
      </c>
      <c r="CO523" s="20">
        <f>+$D522*CO521</f>
        <v>18.811105040000001</v>
      </c>
      <c r="CP523" s="20">
        <f>+$D522*CP521</f>
        <v>5.5704403299999994</v>
      </c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21">
        <f>SUM(H523:DL523)</f>
        <v>1850.0299999999997</v>
      </c>
    </row>
    <row r="524" spans="1:117" x14ac:dyDescent="0.3">
      <c r="A524" s="8" t="s">
        <v>505</v>
      </c>
      <c r="B524" s="9" t="s">
        <v>506</v>
      </c>
      <c r="C524" s="9"/>
      <c r="D524" s="9"/>
      <c r="E524" s="9"/>
      <c r="F524" s="9"/>
      <c r="G524" s="1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11"/>
    </row>
    <row r="525" spans="1:117" x14ac:dyDescent="0.3">
      <c r="A525" s="12"/>
      <c r="B525" s="13"/>
      <c r="C525" s="13"/>
      <c r="D525" s="13"/>
      <c r="E525" s="13"/>
      <c r="F525" s="13"/>
      <c r="G525" s="1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5">
        <v>0.96268600000000004</v>
      </c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5">
        <v>3.483E-3</v>
      </c>
      <c r="CO525" s="15">
        <v>1.2189E-2</v>
      </c>
      <c r="CP525" s="15">
        <v>8.7069999999999995E-3</v>
      </c>
      <c r="CQ525" s="15">
        <v>7.4600000000000003E-4</v>
      </c>
      <c r="CR525" s="15">
        <v>2.2390000000000001E-3</v>
      </c>
      <c r="CS525" s="15">
        <v>3.7309999999999999E-3</v>
      </c>
      <c r="CT525" s="15">
        <v>3.7309999999999999E-3</v>
      </c>
      <c r="CU525" s="13"/>
      <c r="CV525" s="13"/>
      <c r="CW525" s="13"/>
      <c r="CX525" s="15">
        <v>2.4880000000000002E-3</v>
      </c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6">
        <f>SUM(H525:DL525)</f>
        <v>1.0000000000000002</v>
      </c>
    </row>
    <row r="526" spans="1:117" x14ac:dyDescent="0.3">
      <c r="A526" s="17" t="s">
        <v>507</v>
      </c>
      <c r="B526" s="13" t="s">
        <v>508</v>
      </c>
      <c r="C526" s="13" t="s">
        <v>135</v>
      </c>
      <c r="D526" s="13">
        <v>15412.75</v>
      </c>
      <c r="E526" s="13">
        <f>27942.3488*B2</f>
        <v>27942.3488</v>
      </c>
      <c r="F526" s="13">
        <f>D526*E526</f>
        <v>430668436.46719998</v>
      </c>
      <c r="G526" s="14">
        <f>F526/A1</f>
        <v>5.5214720249075972E-3</v>
      </c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8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8"/>
      <c r="CO526" s="18"/>
      <c r="CP526" s="18"/>
      <c r="CQ526" s="18"/>
      <c r="CR526" s="18"/>
      <c r="CS526" s="18"/>
      <c r="CT526" s="18"/>
      <c r="CU526" s="13"/>
      <c r="CV526" s="13"/>
      <c r="CW526" s="13"/>
      <c r="CX526" s="18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9"/>
    </row>
    <row r="527" spans="1:117" x14ac:dyDescent="0.3">
      <c r="A527" s="12"/>
      <c r="B527" s="13"/>
      <c r="C527" s="13"/>
      <c r="D527" s="13"/>
      <c r="E527" s="13"/>
      <c r="F527" s="13"/>
      <c r="G527" s="1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20">
        <f>+$D526*BF525</f>
        <v>14837.638646500001</v>
      </c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20">
        <f t="shared" ref="CN527:CT527" si="19">+$D526*CN525</f>
        <v>53.682608250000001</v>
      </c>
      <c r="CO527" s="20">
        <f t="shared" si="19"/>
        <v>187.86600974999999</v>
      </c>
      <c r="CP527" s="20">
        <f t="shared" si="19"/>
        <v>134.19881425</v>
      </c>
      <c r="CQ527" s="20">
        <f t="shared" si="19"/>
        <v>11.497911500000001</v>
      </c>
      <c r="CR527" s="20">
        <f t="shared" si="19"/>
        <v>34.509147250000005</v>
      </c>
      <c r="CS527" s="20">
        <f t="shared" si="19"/>
        <v>57.50497025</v>
      </c>
      <c r="CT527" s="20">
        <f t="shared" si="19"/>
        <v>57.50497025</v>
      </c>
      <c r="CU527" s="13"/>
      <c r="CV527" s="13"/>
      <c r="CW527" s="13"/>
      <c r="CX527" s="20">
        <f>+$D526*CX525</f>
        <v>38.346922000000006</v>
      </c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21">
        <f>SUM(H527:DL527)</f>
        <v>15412.750000000002</v>
      </c>
    </row>
    <row r="528" spans="1:117" x14ac:dyDescent="0.3">
      <c r="A528" s="12"/>
      <c r="B528" s="13"/>
      <c r="C528" s="13"/>
      <c r="D528" s="13"/>
      <c r="E528" s="13"/>
      <c r="F528" s="13"/>
      <c r="G528" s="1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5">
        <v>0.99756299999999998</v>
      </c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5">
        <v>1.7060000000000001E-3</v>
      </c>
      <c r="CO528" s="13"/>
      <c r="CP528" s="15">
        <v>7.3099999999999999E-4</v>
      </c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6">
        <f>SUM(H528:DL528)</f>
        <v>1</v>
      </c>
    </row>
    <row r="529" spans="1:117" x14ac:dyDescent="0.3">
      <c r="A529" s="17" t="s">
        <v>509</v>
      </c>
      <c r="B529" s="13" t="s">
        <v>510</v>
      </c>
      <c r="C529" s="13" t="s">
        <v>135</v>
      </c>
      <c r="D529" s="13">
        <v>1620.64</v>
      </c>
      <c r="E529" s="13">
        <f>30062.4348*B2</f>
        <v>30062.434799999999</v>
      </c>
      <c r="F529" s="13">
        <f>D529*E529</f>
        <v>48720384.334272005</v>
      </c>
      <c r="G529" s="14">
        <f>F529/A1</f>
        <v>6.2462956735608618E-4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8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8"/>
      <c r="CO529" s="13"/>
      <c r="CP529" s="18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9"/>
    </row>
    <row r="530" spans="1:117" x14ac:dyDescent="0.3">
      <c r="A530" s="12"/>
      <c r="B530" s="13"/>
      <c r="C530" s="13"/>
      <c r="D530" s="13"/>
      <c r="E530" s="13"/>
      <c r="F530" s="13"/>
      <c r="G530" s="1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20">
        <f>+$D529*BF528</f>
        <v>1616.69050032</v>
      </c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20">
        <f>+$D529*CN528</f>
        <v>2.7648118400000001</v>
      </c>
      <c r="CO530" s="13"/>
      <c r="CP530" s="20">
        <f>+$D529*CP528</f>
        <v>1.18468784</v>
      </c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21">
        <f>SUM(H530:DL530)</f>
        <v>1620.6399999999999</v>
      </c>
    </row>
    <row r="531" spans="1:117" x14ac:dyDescent="0.3">
      <c r="A531" s="12"/>
      <c r="B531" s="13"/>
      <c r="C531" s="13"/>
      <c r="D531" s="13"/>
      <c r="E531" s="13"/>
      <c r="F531" s="13"/>
      <c r="G531" s="1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5">
        <v>0.88512999999999997</v>
      </c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5">
        <v>2.6803E-2</v>
      </c>
      <c r="CO531" s="15">
        <v>3.5736999999999998E-2</v>
      </c>
      <c r="CP531" s="15">
        <v>7.6579999999999999E-3</v>
      </c>
      <c r="CQ531" s="15">
        <v>3.8289999999999999E-3</v>
      </c>
      <c r="CR531" s="15">
        <v>1.5316E-2</v>
      </c>
      <c r="CS531" s="13"/>
      <c r="CT531" s="13"/>
      <c r="CU531" s="13"/>
      <c r="CV531" s="15">
        <v>8.9339999999999992E-3</v>
      </c>
      <c r="CW531" s="13"/>
      <c r="CX531" s="15">
        <v>7.6579999999999999E-3</v>
      </c>
      <c r="CY531" s="15">
        <v>3.8289999999999999E-3</v>
      </c>
      <c r="CZ531" s="15">
        <v>5.1060000000000003E-3</v>
      </c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6">
        <f>SUM(H531:DL531)</f>
        <v>1</v>
      </c>
    </row>
    <row r="532" spans="1:117" x14ac:dyDescent="0.3">
      <c r="A532" s="17" t="s">
        <v>511</v>
      </c>
      <c r="B532" s="13" t="s">
        <v>512</v>
      </c>
      <c r="C532" s="13" t="s">
        <v>135</v>
      </c>
      <c r="D532" s="13">
        <v>3263.77</v>
      </c>
      <c r="E532" s="13">
        <f>53217.5043*B2</f>
        <v>53217.504300000001</v>
      </c>
      <c r="F532" s="13">
        <f>D532*E532</f>
        <v>173689694.009211</v>
      </c>
      <c r="G532" s="14">
        <f>F532/A1</f>
        <v>2.2268239445489505E-3</v>
      </c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8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8"/>
      <c r="CO532" s="18"/>
      <c r="CP532" s="18"/>
      <c r="CQ532" s="18"/>
      <c r="CR532" s="18"/>
      <c r="CS532" s="13"/>
      <c r="CT532" s="13"/>
      <c r="CU532" s="13"/>
      <c r="CV532" s="18"/>
      <c r="CW532" s="13"/>
      <c r="CX532" s="18"/>
      <c r="CY532" s="18"/>
      <c r="CZ532" s="18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9"/>
    </row>
    <row r="533" spans="1:117" x14ac:dyDescent="0.3">
      <c r="A533" s="12"/>
      <c r="B533" s="13"/>
      <c r="C533" s="13"/>
      <c r="D533" s="13"/>
      <c r="E533" s="13"/>
      <c r="F533" s="13"/>
      <c r="G533" s="1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20">
        <f>+$D532*BF531</f>
        <v>2888.8607400999999</v>
      </c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20">
        <f>+$D532*CN531</f>
        <v>87.47882731</v>
      </c>
      <c r="CO533" s="20">
        <f>+$D532*CO531</f>
        <v>116.63734848999999</v>
      </c>
      <c r="CP533" s="20">
        <f>+$D532*CP531</f>
        <v>24.993950659999999</v>
      </c>
      <c r="CQ533" s="20">
        <f>+$D532*CQ531</f>
        <v>12.49697533</v>
      </c>
      <c r="CR533" s="20">
        <f>+$D532*CR531</f>
        <v>49.987901319999999</v>
      </c>
      <c r="CS533" s="13"/>
      <c r="CT533" s="13"/>
      <c r="CU533" s="13"/>
      <c r="CV533" s="20">
        <f>+$D532*CV531</f>
        <v>29.158521179999997</v>
      </c>
      <c r="CW533" s="13"/>
      <c r="CX533" s="20">
        <f>+$D532*CX531</f>
        <v>24.993950659999999</v>
      </c>
      <c r="CY533" s="20">
        <f>+$D532*CY531</f>
        <v>12.49697533</v>
      </c>
      <c r="CZ533" s="20">
        <f>+$D532*CZ531</f>
        <v>16.66480962</v>
      </c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21">
        <f>SUM(H533:DL533)</f>
        <v>3263.7700000000004</v>
      </c>
    </row>
    <row r="534" spans="1:117" x14ac:dyDescent="0.3">
      <c r="A534" s="12"/>
      <c r="B534" s="13"/>
      <c r="C534" s="13"/>
      <c r="D534" s="13"/>
      <c r="E534" s="13"/>
      <c r="F534" s="13"/>
      <c r="G534" s="1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5">
        <v>0.74717699999999998</v>
      </c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5">
        <v>0.14158100000000001</v>
      </c>
      <c r="CO534" s="13"/>
      <c r="CP534" s="15">
        <v>6.0677000000000002E-2</v>
      </c>
      <c r="CQ534" s="15">
        <v>1.7697999999999998E-2</v>
      </c>
      <c r="CR534" s="15">
        <v>1.7697999999999998E-2</v>
      </c>
      <c r="CS534" s="13"/>
      <c r="CT534" s="15">
        <v>1.5169E-2</v>
      </c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6">
        <f>SUM(H534:DL534)</f>
        <v>0.99999999999999989</v>
      </c>
    </row>
    <row r="535" spans="1:117" x14ac:dyDescent="0.3">
      <c r="A535" s="17" t="s">
        <v>513</v>
      </c>
      <c r="B535" s="13" t="s">
        <v>514</v>
      </c>
      <c r="C535" s="13" t="s">
        <v>135</v>
      </c>
      <c r="D535" s="13">
        <v>3277.71</v>
      </c>
      <c r="E535" s="13">
        <f>43517.3765*B2</f>
        <v>43517.376499999998</v>
      </c>
      <c r="F535" s="13">
        <f>D535*E535</f>
        <v>142637340.12781501</v>
      </c>
      <c r="G535" s="14">
        <f>F535/A1</f>
        <v>1.8287109445108876E-3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8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8"/>
      <c r="CO535" s="13"/>
      <c r="CP535" s="18"/>
      <c r="CQ535" s="18"/>
      <c r="CR535" s="18"/>
      <c r="CS535" s="13"/>
      <c r="CT535" s="18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9"/>
    </row>
    <row r="536" spans="1:117" x14ac:dyDescent="0.3">
      <c r="A536" s="12"/>
      <c r="B536" s="13"/>
      <c r="C536" s="13"/>
      <c r="D536" s="13"/>
      <c r="E536" s="13"/>
      <c r="F536" s="13"/>
      <c r="G536" s="1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20">
        <f>+$D535*BF534</f>
        <v>2449.0295246699998</v>
      </c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20">
        <f>+$D535*CN534</f>
        <v>464.06145951000002</v>
      </c>
      <c r="CO536" s="13"/>
      <c r="CP536" s="20">
        <f>+$D535*CP534</f>
        <v>198.88160967000002</v>
      </c>
      <c r="CQ536" s="20">
        <f>+$D535*CQ534</f>
        <v>58.008911579999996</v>
      </c>
      <c r="CR536" s="20">
        <f>+$D535*CR534</f>
        <v>58.008911579999996</v>
      </c>
      <c r="CS536" s="13"/>
      <c r="CT536" s="20">
        <f>+$D535*CT534</f>
        <v>49.719582989999999</v>
      </c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21">
        <f>SUM(H536:DL536)</f>
        <v>3277.7100000000005</v>
      </c>
    </row>
    <row r="537" spans="1:117" x14ac:dyDescent="0.3">
      <c r="A537" s="12"/>
      <c r="B537" s="13"/>
      <c r="C537" s="13"/>
      <c r="D537" s="13"/>
      <c r="E537" s="13"/>
      <c r="F537" s="13"/>
      <c r="G537" s="1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5">
        <v>0.91932700000000001</v>
      </c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5">
        <v>4.7058999999999997E-2</v>
      </c>
      <c r="CN537" s="13"/>
      <c r="CO537" s="15">
        <v>2.5547E-2</v>
      </c>
      <c r="CP537" s="15">
        <v>4.0340000000000003E-3</v>
      </c>
      <c r="CQ537" s="15">
        <v>4.0330000000000001E-3</v>
      </c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6">
        <f>SUM(H537:DL537)</f>
        <v>0.99999999999999989</v>
      </c>
    </row>
    <row r="538" spans="1:117" x14ac:dyDescent="0.3">
      <c r="A538" s="17" t="s">
        <v>515</v>
      </c>
      <c r="B538" s="13" t="s">
        <v>516</v>
      </c>
      <c r="C538" s="13" t="s">
        <v>135</v>
      </c>
      <c r="D538" s="13">
        <v>2336.46</v>
      </c>
      <c r="E538" s="13">
        <f>52796.1073*B2</f>
        <v>52796.107300000003</v>
      </c>
      <c r="F538" s="13">
        <f>D538*E538</f>
        <v>123355992.86215802</v>
      </c>
      <c r="G538" s="14">
        <f>F538/A1</f>
        <v>1.5815105218303601E-3</v>
      </c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8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8"/>
      <c r="CN538" s="13"/>
      <c r="CO538" s="18"/>
      <c r="CP538" s="18"/>
      <c r="CQ538" s="18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9"/>
    </row>
    <row r="539" spans="1:117" x14ac:dyDescent="0.3">
      <c r="A539" s="12"/>
      <c r="B539" s="13"/>
      <c r="C539" s="13"/>
      <c r="D539" s="13"/>
      <c r="E539" s="13"/>
      <c r="F539" s="13"/>
      <c r="G539" s="1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20">
        <f>+$D538*BF537</f>
        <v>2147.97076242</v>
      </c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20">
        <f>+$D538*CM537</f>
        <v>109.95147114</v>
      </c>
      <c r="CN539" s="13"/>
      <c r="CO539" s="20">
        <f>+$D538*CO537</f>
        <v>59.689543620000002</v>
      </c>
      <c r="CP539" s="20">
        <f>+$D538*CP537</f>
        <v>9.4252796400000012</v>
      </c>
      <c r="CQ539" s="20">
        <f>+$D538*CQ537</f>
        <v>9.4229431800000008</v>
      </c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21">
        <f>SUM(H539:DL539)</f>
        <v>2336.4600000000005</v>
      </c>
    </row>
    <row r="540" spans="1:117" x14ac:dyDescent="0.3">
      <c r="A540" s="12"/>
      <c r="B540" s="13"/>
      <c r="C540" s="13"/>
      <c r="D540" s="13"/>
      <c r="E540" s="13"/>
      <c r="F540" s="13"/>
      <c r="G540" s="1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5">
        <v>0.92551099999999997</v>
      </c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5">
        <v>3.2793999999999997E-2</v>
      </c>
      <c r="CN540" s="15">
        <v>1.0931E-2</v>
      </c>
      <c r="CO540" s="15">
        <v>2.3737000000000001E-2</v>
      </c>
      <c r="CP540" s="15">
        <v>7.0270000000000003E-3</v>
      </c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6">
        <f>SUM(H540:DL540)</f>
        <v>1</v>
      </c>
    </row>
    <row r="541" spans="1:117" x14ac:dyDescent="0.3">
      <c r="A541" s="17" t="s">
        <v>517</v>
      </c>
      <c r="B541" s="13" t="s">
        <v>518</v>
      </c>
      <c r="C541" s="13" t="s">
        <v>135</v>
      </c>
      <c r="D541" s="13">
        <v>3291.87</v>
      </c>
      <c r="E541" s="13">
        <f>55574.629*B2</f>
        <v>55574.629000000001</v>
      </c>
      <c r="F541" s="13">
        <f>D541*E541</f>
        <v>182944453.96623001</v>
      </c>
      <c r="G541" s="14">
        <f>F541/A1</f>
        <v>2.345476471349129E-3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8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8"/>
      <c r="CN541" s="18"/>
      <c r="CO541" s="18"/>
      <c r="CP541" s="18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9"/>
    </row>
    <row r="542" spans="1:117" x14ac:dyDescent="0.3">
      <c r="A542" s="12"/>
      <c r="B542" s="13"/>
      <c r="C542" s="13"/>
      <c r="D542" s="13"/>
      <c r="E542" s="13"/>
      <c r="F542" s="13"/>
      <c r="G542" s="1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20">
        <f>+$D541*BF540</f>
        <v>3046.6618955699996</v>
      </c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20">
        <f>+$D541*CM540</f>
        <v>107.95358477999999</v>
      </c>
      <c r="CN542" s="20">
        <f>+$D541*CN540</f>
        <v>35.983430970000001</v>
      </c>
      <c r="CO542" s="20">
        <f>+$D541*CO540</f>
        <v>78.139118190000005</v>
      </c>
      <c r="CP542" s="20">
        <f>+$D541*CP540</f>
        <v>23.13197049</v>
      </c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21">
        <f>SUM(H542:DL542)</f>
        <v>3291.8699999999994</v>
      </c>
    </row>
    <row r="543" spans="1:117" x14ac:dyDescent="0.3">
      <c r="A543" s="8" t="s">
        <v>519</v>
      </c>
      <c r="B543" s="9" t="s">
        <v>520</v>
      </c>
      <c r="C543" s="9"/>
      <c r="D543" s="9"/>
      <c r="E543" s="9"/>
      <c r="F543" s="9"/>
      <c r="G543" s="1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11"/>
    </row>
    <row r="544" spans="1:117" x14ac:dyDescent="0.3">
      <c r="A544" s="12"/>
      <c r="B544" s="13"/>
      <c r="C544" s="13"/>
      <c r="D544" s="13"/>
      <c r="E544" s="13"/>
      <c r="F544" s="13"/>
      <c r="G544" s="1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5">
        <v>0.97171200000000002</v>
      </c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5">
        <v>2.64E-3</v>
      </c>
      <c r="CO544" s="15">
        <v>9.2409999999999992E-3</v>
      </c>
      <c r="CP544" s="15">
        <v>6.6010000000000001E-3</v>
      </c>
      <c r="CQ544" s="15">
        <v>5.6599999999999999E-4</v>
      </c>
      <c r="CR544" s="15">
        <v>1.6969999999999999E-3</v>
      </c>
      <c r="CS544" s="15">
        <v>2.8289999999999999E-3</v>
      </c>
      <c r="CT544" s="15">
        <v>2.8289999999999999E-3</v>
      </c>
      <c r="CU544" s="13"/>
      <c r="CV544" s="13"/>
      <c r="CW544" s="13"/>
      <c r="CX544" s="15">
        <v>1.885E-3</v>
      </c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6">
        <f>SUM(H544:DL544)</f>
        <v>0.99999999999999978</v>
      </c>
    </row>
    <row r="545" spans="1:117" x14ac:dyDescent="0.3">
      <c r="A545" s="17" t="s">
        <v>521</v>
      </c>
      <c r="B545" s="13" t="s">
        <v>522</v>
      </c>
      <c r="C545" s="13" t="s">
        <v>135</v>
      </c>
      <c r="D545" s="13">
        <v>14910.66</v>
      </c>
      <c r="E545" s="13">
        <f>29145.6687*B2</f>
        <v>29145.668699999998</v>
      </c>
      <c r="F545" s="13">
        <f>D545*E545</f>
        <v>434581156.45834196</v>
      </c>
      <c r="G545" s="14">
        <f>F545/A1</f>
        <v>5.5716358450138628E-3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8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8"/>
      <c r="CO545" s="18"/>
      <c r="CP545" s="18"/>
      <c r="CQ545" s="18"/>
      <c r="CR545" s="18"/>
      <c r="CS545" s="18"/>
      <c r="CT545" s="18"/>
      <c r="CU545" s="13"/>
      <c r="CV545" s="13"/>
      <c r="CW545" s="13"/>
      <c r="CX545" s="18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9"/>
    </row>
    <row r="546" spans="1:117" x14ac:dyDescent="0.3">
      <c r="A546" s="12"/>
      <c r="B546" s="13"/>
      <c r="C546" s="13"/>
      <c r="D546" s="13"/>
      <c r="E546" s="13"/>
      <c r="F546" s="13"/>
      <c r="G546" s="1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20">
        <f>+$D545*BF544</f>
        <v>14488.86724992</v>
      </c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20">
        <f t="shared" ref="CN546:CT546" si="20">+$D545*CN544</f>
        <v>39.364142399999999</v>
      </c>
      <c r="CO546" s="20">
        <f t="shared" si="20"/>
        <v>137.78940906</v>
      </c>
      <c r="CP546" s="20">
        <f t="shared" si="20"/>
        <v>98.425266660000005</v>
      </c>
      <c r="CQ546" s="20">
        <f t="shared" si="20"/>
        <v>8.4394335599999994</v>
      </c>
      <c r="CR546" s="20">
        <f t="shared" si="20"/>
        <v>25.303390019999998</v>
      </c>
      <c r="CS546" s="20">
        <f t="shared" si="20"/>
        <v>42.182257139999997</v>
      </c>
      <c r="CT546" s="20">
        <f t="shared" si="20"/>
        <v>42.182257139999997</v>
      </c>
      <c r="CU546" s="13"/>
      <c r="CV546" s="13"/>
      <c r="CW546" s="13"/>
      <c r="CX546" s="20">
        <f>+$D545*CX544</f>
        <v>28.106594099999999</v>
      </c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21">
        <f>SUM(H546:DL546)</f>
        <v>14910.660000000003</v>
      </c>
    </row>
    <row r="547" spans="1:117" x14ac:dyDescent="0.3">
      <c r="A547" s="12"/>
      <c r="B547" s="13"/>
      <c r="C547" s="13"/>
      <c r="D547" s="13"/>
      <c r="E547" s="13"/>
      <c r="F547" s="13"/>
      <c r="G547" s="1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5">
        <v>0.99507299999999999</v>
      </c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5">
        <v>3.4489999999999998E-3</v>
      </c>
      <c r="CO547" s="13"/>
      <c r="CP547" s="15">
        <v>1.4779999999999999E-3</v>
      </c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6">
        <f>SUM(H547:DL547)</f>
        <v>1</v>
      </c>
    </row>
    <row r="548" spans="1:117" x14ac:dyDescent="0.3">
      <c r="A548" s="17" t="s">
        <v>523</v>
      </c>
      <c r="B548" s="13" t="s">
        <v>524</v>
      </c>
      <c r="C548" s="13" t="s">
        <v>135</v>
      </c>
      <c r="D548" s="13">
        <v>1873.22</v>
      </c>
      <c r="E548" s="13">
        <f>27721.3795*B2</f>
        <v>27721.379499999999</v>
      </c>
      <c r="F548" s="13">
        <f>D548*E548</f>
        <v>51928242.506990001</v>
      </c>
      <c r="G548" s="14">
        <f>F548/A1</f>
        <v>6.6575656358043708E-4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8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8"/>
      <c r="CO548" s="13"/>
      <c r="CP548" s="18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9"/>
    </row>
    <row r="549" spans="1:117" x14ac:dyDescent="0.3">
      <c r="A549" s="12"/>
      <c r="B549" s="13"/>
      <c r="C549" s="13"/>
      <c r="D549" s="13"/>
      <c r="E549" s="13"/>
      <c r="F549" s="13"/>
      <c r="G549" s="1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20">
        <f>+$D548*BF547</f>
        <v>1863.9906450599999</v>
      </c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20">
        <f>+$D548*CN547</f>
        <v>6.4607357799999994</v>
      </c>
      <c r="CO549" s="13"/>
      <c r="CP549" s="20">
        <f>+$D548*CP547</f>
        <v>2.7686191600000001</v>
      </c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21">
        <f>SUM(H549:DL549)</f>
        <v>1873.22</v>
      </c>
    </row>
    <row r="550" spans="1:117" x14ac:dyDescent="0.3">
      <c r="A550" s="12"/>
      <c r="B550" s="13"/>
      <c r="C550" s="13"/>
      <c r="D550" s="13"/>
      <c r="E550" s="13"/>
      <c r="F550" s="13"/>
      <c r="G550" s="1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5">
        <v>0.848383</v>
      </c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5">
        <v>3.5376999999999999E-2</v>
      </c>
      <c r="CO550" s="15">
        <v>4.7169999999999997E-2</v>
      </c>
      <c r="CP550" s="15">
        <v>1.0108000000000001E-2</v>
      </c>
      <c r="CQ550" s="15">
        <v>5.0540000000000003E-3</v>
      </c>
      <c r="CR550" s="15">
        <v>2.0216000000000001E-2</v>
      </c>
      <c r="CS550" s="13"/>
      <c r="CT550" s="13"/>
      <c r="CU550" s="13"/>
      <c r="CV550" s="15">
        <v>1.1792E-2</v>
      </c>
      <c r="CW550" s="13"/>
      <c r="CX550" s="15">
        <v>1.0108000000000001E-2</v>
      </c>
      <c r="CY550" s="15">
        <v>5.0540000000000003E-3</v>
      </c>
      <c r="CZ550" s="15">
        <v>6.7380000000000001E-3</v>
      </c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6">
        <f>SUM(H550:DL550)</f>
        <v>1</v>
      </c>
    </row>
    <row r="551" spans="1:117" x14ac:dyDescent="0.3">
      <c r="A551" s="17" t="s">
        <v>525</v>
      </c>
      <c r="B551" s="13" t="s">
        <v>526</v>
      </c>
      <c r="C551" s="13" t="s">
        <v>135</v>
      </c>
      <c r="D551" s="13">
        <v>4557.5200000000004</v>
      </c>
      <c r="E551" s="13">
        <f>39476.0354*B2</f>
        <v>39476.035400000001</v>
      </c>
      <c r="F551" s="13">
        <f>D551*E551</f>
        <v>179912820.85620803</v>
      </c>
      <c r="G551" s="14">
        <f>F551/A1</f>
        <v>2.3066088042777233E-3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8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8"/>
      <c r="CO551" s="18"/>
      <c r="CP551" s="18"/>
      <c r="CQ551" s="18"/>
      <c r="CR551" s="18"/>
      <c r="CS551" s="13"/>
      <c r="CT551" s="13"/>
      <c r="CU551" s="13"/>
      <c r="CV551" s="18"/>
      <c r="CW551" s="13"/>
      <c r="CX551" s="18"/>
      <c r="CY551" s="18"/>
      <c r="CZ551" s="18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9"/>
    </row>
    <row r="552" spans="1:117" x14ac:dyDescent="0.3">
      <c r="A552" s="12"/>
      <c r="B552" s="13"/>
      <c r="C552" s="13"/>
      <c r="D552" s="13"/>
      <c r="E552" s="13"/>
      <c r="F552" s="13"/>
      <c r="G552" s="1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20">
        <f>+$D551*BF550</f>
        <v>3866.5224901600004</v>
      </c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20">
        <f>+$D551*CN550</f>
        <v>161.23138504000002</v>
      </c>
      <c r="CO552" s="20">
        <f>+$D551*CO550</f>
        <v>214.9782184</v>
      </c>
      <c r="CP552" s="20">
        <f>+$D551*CP550</f>
        <v>46.067412160000011</v>
      </c>
      <c r="CQ552" s="20">
        <f>+$D551*CQ550</f>
        <v>23.033706080000005</v>
      </c>
      <c r="CR552" s="20">
        <f>+$D551*CR550</f>
        <v>92.134824320000021</v>
      </c>
      <c r="CS552" s="13"/>
      <c r="CT552" s="13"/>
      <c r="CU552" s="13"/>
      <c r="CV552" s="20">
        <f>+$D551*CV550</f>
        <v>53.742275840000005</v>
      </c>
      <c r="CW552" s="13"/>
      <c r="CX552" s="20">
        <f>+$D551*CX550</f>
        <v>46.067412160000011</v>
      </c>
      <c r="CY552" s="20">
        <f>+$D551*CY550</f>
        <v>23.033706080000005</v>
      </c>
      <c r="CZ552" s="20">
        <f>+$D551*CZ550</f>
        <v>30.708569760000003</v>
      </c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21">
        <f>SUM(H552:DL552)</f>
        <v>4557.5200000000013</v>
      </c>
    </row>
    <row r="553" spans="1:117" x14ac:dyDescent="0.3">
      <c r="A553" s="12"/>
      <c r="B553" s="13"/>
      <c r="C553" s="13"/>
      <c r="D553" s="13"/>
      <c r="E553" s="13"/>
      <c r="F553" s="13"/>
      <c r="G553" s="1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5">
        <v>0.49317100000000003</v>
      </c>
      <c r="BG553" s="13"/>
      <c r="BH553" s="13"/>
      <c r="BI553" s="15">
        <v>0.12818299999999999</v>
      </c>
      <c r="BJ553" s="15">
        <v>0.219413</v>
      </c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5">
        <v>8.9171E-2</v>
      </c>
      <c r="CO553" s="13"/>
      <c r="CP553" s="15">
        <v>3.8216E-2</v>
      </c>
      <c r="CQ553" s="15">
        <v>1.1146E-2</v>
      </c>
      <c r="CR553" s="15">
        <v>1.1146E-2</v>
      </c>
      <c r="CS553" s="13"/>
      <c r="CT553" s="15">
        <v>9.554E-3</v>
      </c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6">
        <f>SUM(H553:DL553)</f>
        <v>0.99999999999999989</v>
      </c>
    </row>
    <row r="554" spans="1:117" x14ac:dyDescent="0.3">
      <c r="A554" s="17" t="s">
        <v>527</v>
      </c>
      <c r="B554" s="13" t="s">
        <v>528</v>
      </c>
      <c r="C554" s="13" t="s">
        <v>135</v>
      </c>
      <c r="D554" s="13">
        <v>3776.4</v>
      </c>
      <c r="E554" s="13">
        <f>37818.0734*B2</f>
        <v>37818.073400000001</v>
      </c>
      <c r="F554" s="13">
        <f>D554*E554</f>
        <v>142816172.38776001</v>
      </c>
      <c r="G554" s="14">
        <f>F554/A1</f>
        <v>1.8310036997648764E-3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8"/>
      <c r="BG554" s="13"/>
      <c r="BH554" s="13"/>
      <c r="BI554" s="18"/>
      <c r="BJ554" s="18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8"/>
      <c r="CO554" s="13"/>
      <c r="CP554" s="18"/>
      <c r="CQ554" s="18"/>
      <c r="CR554" s="18"/>
      <c r="CS554" s="13"/>
      <c r="CT554" s="18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9"/>
    </row>
    <row r="555" spans="1:117" x14ac:dyDescent="0.3">
      <c r="A555" s="12"/>
      <c r="B555" s="13"/>
      <c r="C555" s="13"/>
      <c r="D555" s="13"/>
      <c r="E555" s="13"/>
      <c r="F555" s="13"/>
      <c r="G555" s="1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20">
        <f>+$D554*BF553</f>
        <v>1862.4109644000002</v>
      </c>
      <c r="BG555" s="13"/>
      <c r="BH555" s="13"/>
      <c r="BI555" s="20">
        <f>+$D554*BI553</f>
        <v>484.07028119999995</v>
      </c>
      <c r="BJ555" s="20">
        <f>+$D554*BJ553</f>
        <v>828.59125319999998</v>
      </c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20">
        <f>+$D554*CN553</f>
        <v>336.74536440000003</v>
      </c>
      <c r="CO555" s="13"/>
      <c r="CP555" s="20">
        <f>+$D554*CP553</f>
        <v>144.31890240000001</v>
      </c>
      <c r="CQ555" s="20">
        <f>+$D554*CQ553</f>
        <v>42.091754399999999</v>
      </c>
      <c r="CR555" s="20">
        <f>+$D554*CR553</f>
        <v>42.091754399999999</v>
      </c>
      <c r="CS555" s="13"/>
      <c r="CT555" s="20">
        <f>+$D554*CT553</f>
        <v>36.079725600000003</v>
      </c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21">
        <f>SUM(H555:DL555)</f>
        <v>3776.4</v>
      </c>
    </row>
    <row r="556" spans="1:117" x14ac:dyDescent="0.3">
      <c r="A556" s="12"/>
      <c r="B556" s="13"/>
      <c r="C556" s="13"/>
      <c r="D556" s="13"/>
      <c r="E556" s="13"/>
      <c r="F556" s="13"/>
      <c r="G556" s="1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5">
        <v>0.93872299999999997</v>
      </c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5">
        <v>3.5744999999999999E-2</v>
      </c>
      <c r="CN556" s="13"/>
      <c r="CO556" s="15">
        <v>1.9404000000000001E-2</v>
      </c>
      <c r="CP556" s="15">
        <v>3.0639999999999999E-3</v>
      </c>
      <c r="CQ556" s="15">
        <v>3.0639999999999999E-3</v>
      </c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6">
        <f>SUM(H556:DL556)</f>
        <v>0.99999999999999989</v>
      </c>
    </row>
    <row r="557" spans="1:117" x14ac:dyDescent="0.3">
      <c r="A557" s="17" t="s">
        <v>529</v>
      </c>
      <c r="B557" s="13" t="s">
        <v>530</v>
      </c>
      <c r="C557" s="13" t="s">
        <v>135</v>
      </c>
      <c r="D557" s="13">
        <v>2832.89</v>
      </c>
      <c r="E557" s="13">
        <f>43763.8056*B2</f>
        <v>43763.8056</v>
      </c>
      <c r="F557" s="13">
        <f>D557*E557</f>
        <v>123978047.24618399</v>
      </c>
      <c r="G557" s="14">
        <f>F557/A1</f>
        <v>1.5894856962070693E-3</v>
      </c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8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8"/>
      <c r="CN557" s="13"/>
      <c r="CO557" s="18"/>
      <c r="CP557" s="18"/>
      <c r="CQ557" s="18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9"/>
    </row>
    <row r="558" spans="1:117" x14ac:dyDescent="0.3">
      <c r="A558" s="12"/>
      <c r="B558" s="13"/>
      <c r="C558" s="13"/>
      <c r="D558" s="13"/>
      <c r="E558" s="13"/>
      <c r="F558" s="13"/>
      <c r="G558" s="1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20">
        <f>+$D557*BF556</f>
        <v>2659.2989994699997</v>
      </c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20">
        <f>+$D557*CM556</f>
        <v>101.26165304999999</v>
      </c>
      <c r="CN558" s="13"/>
      <c r="CO558" s="20">
        <f>+$D557*CO556</f>
        <v>54.969397559999997</v>
      </c>
      <c r="CP558" s="20">
        <f>+$D557*CP556</f>
        <v>8.6799749599999991</v>
      </c>
      <c r="CQ558" s="20">
        <f>+$D557*CQ556</f>
        <v>8.6799749599999991</v>
      </c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21">
        <f>SUM(H558:DL558)</f>
        <v>2832.8899999999994</v>
      </c>
    </row>
    <row r="559" spans="1:117" x14ac:dyDescent="0.3">
      <c r="A559" s="12"/>
      <c r="B559" s="13"/>
      <c r="C559" s="13"/>
      <c r="D559" s="13"/>
      <c r="E559" s="13"/>
      <c r="F559" s="13"/>
      <c r="G559" s="1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5">
        <v>0.97139900000000001</v>
      </c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5">
        <v>1.2592000000000001E-2</v>
      </c>
      <c r="CN559" s="15">
        <v>4.1970000000000002E-3</v>
      </c>
      <c r="CO559" s="15">
        <v>9.1140000000000006E-3</v>
      </c>
      <c r="CP559" s="15">
        <v>2.6979999999999999E-3</v>
      </c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6">
        <f>SUM(H559:DL559)</f>
        <v>1</v>
      </c>
    </row>
    <row r="560" spans="1:117" x14ac:dyDescent="0.3">
      <c r="A560" s="17" t="s">
        <v>531</v>
      </c>
      <c r="B560" s="13" t="s">
        <v>532</v>
      </c>
      <c r="C560" s="13" t="s">
        <v>135</v>
      </c>
      <c r="D560" s="13">
        <v>3026.14</v>
      </c>
      <c r="E560" s="13">
        <f>50987.2718*B2</f>
        <v>50987.271800000002</v>
      </c>
      <c r="F560" s="13">
        <f>D560*E560</f>
        <v>154294622.684852</v>
      </c>
      <c r="G560" s="14">
        <f>F560/A1</f>
        <v>1.978165499511751E-3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8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8"/>
      <c r="CN560" s="18"/>
      <c r="CO560" s="18"/>
      <c r="CP560" s="18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9"/>
    </row>
    <row r="561" spans="1:117" x14ac:dyDescent="0.3">
      <c r="A561" s="12"/>
      <c r="B561" s="13"/>
      <c r="C561" s="13"/>
      <c r="D561" s="13"/>
      <c r="E561" s="13"/>
      <c r="F561" s="13"/>
      <c r="G561" s="1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20">
        <f>+$D560*BF559</f>
        <v>2939.5893698599998</v>
      </c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20">
        <f>+$D560*CM559</f>
        <v>38.105154880000001</v>
      </c>
      <c r="CN561" s="20">
        <f>+$D560*CN559</f>
        <v>12.70070958</v>
      </c>
      <c r="CO561" s="20">
        <f>+$D560*CO559</f>
        <v>27.58023996</v>
      </c>
      <c r="CP561" s="20">
        <f>+$D560*CP559</f>
        <v>8.1645257199999985</v>
      </c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21">
        <f>SUM(H561:DL561)</f>
        <v>3026.14</v>
      </c>
    </row>
    <row r="562" spans="1:117" x14ac:dyDescent="0.3">
      <c r="A562" s="12"/>
      <c r="B562" s="13"/>
      <c r="C562" s="13"/>
      <c r="D562" s="13"/>
      <c r="E562" s="13"/>
      <c r="F562" s="13"/>
      <c r="G562" s="1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5">
        <v>0.91867699999999997</v>
      </c>
      <c r="BG562" s="13"/>
      <c r="BH562" s="13"/>
      <c r="BI562" s="15">
        <v>1.7011999999999999E-2</v>
      </c>
      <c r="BJ562" s="15">
        <v>2.9118999999999999E-2</v>
      </c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5">
        <v>4.4019999999999997E-3</v>
      </c>
      <c r="CN562" s="15">
        <v>6.0530000000000002E-3</v>
      </c>
      <c r="CO562" s="15">
        <v>9.2910000000000006E-3</v>
      </c>
      <c r="CP562" s="15">
        <v>5.7780000000000001E-3</v>
      </c>
      <c r="CQ562" s="15">
        <v>1.2179999999999999E-3</v>
      </c>
      <c r="CR562" s="15">
        <v>1.926E-3</v>
      </c>
      <c r="CS562" s="15">
        <v>1.9650000000000002E-3</v>
      </c>
      <c r="CT562" s="15">
        <v>1.415E-3</v>
      </c>
      <c r="CU562" s="13"/>
      <c r="CV562" s="15">
        <v>5.5000000000000003E-4</v>
      </c>
      <c r="CW562" s="15">
        <v>7.8600000000000002E-4</v>
      </c>
      <c r="CX562" s="15">
        <v>1.258E-3</v>
      </c>
      <c r="CY562" s="15">
        <v>2.3599999999999999E-4</v>
      </c>
      <c r="CZ562" s="15">
        <v>3.1399999999999999E-4</v>
      </c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6">
        <f>SUM(H562:DL562)</f>
        <v>1</v>
      </c>
    </row>
    <row r="563" spans="1:117" x14ac:dyDescent="0.3">
      <c r="A563" s="17" t="s">
        <v>533</v>
      </c>
      <c r="B563" s="13" t="s">
        <v>534</v>
      </c>
      <c r="C563" s="13" t="s">
        <v>274</v>
      </c>
      <c r="D563" s="13">
        <v>45117.97</v>
      </c>
      <c r="E563" s="13">
        <f>14730.2918*B2</f>
        <v>14730.291800000001</v>
      </c>
      <c r="F563" s="13">
        <f>D563*E563</f>
        <v>664600863.52364612</v>
      </c>
      <c r="G563" s="14">
        <f>F563/A1</f>
        <v>8.5206501451023375E-3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8"/>
      <c r="BG563" s="13"/>
      <c r="BH563" s="13"/>
      <c r="BI563" s="18"/>
      <c r="BJ563" s="18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8"/>
      <c r="CN563" s="18"/>
      <c r="CO563" s="18"/>
      <c r="CP563" s="18"/>
      <c r="CQ563" s="18"/>
      <c r="CR563" s="18"/>
      <c r="CS563" s="18"/>
      <c r="CT563" s="18"/>
      <c r="CU563" s="13"/>
      <c r="CV563" s="18"/>
      <c r="CW563" s="18"/>
      <c r="CX563" s="18"/>
      <c r="CY563" s="18"/>
      <c r="CZ563" s="18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9"/>
    </row>
    <row r="564" spans="1:117" x14ac:dyDescent="0.3">
      <c r="A564" s="12"/>
      <c r="B564" s="13"/>
      <c r="C564" s="13"/>
      <c r="D564" s="13"/>
      <c r="E564" s="13"/>
      <c r="F564" s="13"/>
      <c r="G564" s="1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20">
        <f>+$D563*BF562</f>
        <v>41448.841325690002</v>
      </c>
      <c r="BG564" s="13"/>
      <c r="BH564" s="13"/>
      <c r="BI564" s="20">
        <f>+$D563*BI562</f>
        <v>767.54690563999998</v>
      </c>
      <c r="BJ564" s="20">
        <f>+$D563*BJ562</f>
        <v>1313.79016843</v>
      </c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20">
        <f t="shared" ref="CM564:CT564" si="21">+$D563*CM562</f>
        <v>198.60930393999999</v>
      </c>
      <c r="CN564" s="20">
        <f t="shared" si="21"/>
        <v>273.09907241000002</v>
      </c>
      <c r="CO564" s="20">
        <f t="shared" si="21"/>
        <v>419.19105927000004</v>
      </c>
      <c r="CP564" s="20">
        <f t="shared" si="21"/>
        <v>260.69163065999999</v>
      </c>
      <c r="CQ564" s="20">
        <f t="shared" si="21"/>
        <v>54.953687459999998</v>
      </c>
      <c r="CR564" s="20">
        <f t="shared" si="21"/>
        <v>86.897210220000005</v>
      </c>
      <c r="CS564" s="20">
        <f t="shared" si="21"/>
        <v>88.656811050000016</v>
      </c>
      <c r="CT564" s="20">
        <f t="shared" si="21"/>
        <v>63.841927550000001</v>
      </c>
      <c r="CU564" s="13"/>
      <c r="CV564" s="20">
        <f>+$D563*CV562</f>
        <v>24.814883500000001</v>
      </c>
      <c r="CW564" s="20">
        <f>+$D563*CW562</f>
        <v>35.462724420000001</v>
      </c>
      <c r="CX564" s="20">
        <f>+$D563*CX562</f>
        <v>56.758406260000001</v>
      </c>
      <c r="CY564" s="20">
        <f>+$D563*CY562</f>
        <v>10.64784092</v>
      </c>
      <c r="CZ564" s="20">
        <f>+$D563*CZ562</f>
        <v>14.16704258</v>
      </c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21">
        <f>SUM(H564:DL564)</f>
        <v>45117.970000000008</v>
      </c>
    </row>
    <row r="565" spans="1:117" x14ac:dyDescent="0.3">
      <c r="A565" s="12"/>
      <c r="B565" s="13"/>
      <c r="C565" s="13"/>
      <c r="D565" s="13"/>
      <c r="E565" s="13"/>
      <c r="F565" s="13"/>
      <c r="G565" s="1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5">
        <v>0.88081399999999999</v>
      </c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5">
        <v>1.4907999999999999E-2</v>
      </c>
      <c r="CN565" s="15">
        <v>2.0499E-2</v>
      </c>
      <c r="CO565" s="15">
        <v>3.1467000000000002E-2</v>
      </c>
      <c r="CP565" s="15">
        <v>1.9567000000000001E-2</v>
      </c>
      <c r="CQ565" s="15">
        <v>4.1260000000000003E-3</v>
      </c>
      <c r="CR565" s="15">
        <v>6.522E-3</v>
      </c>
      <c r="CS565" s="15">
        <v>6.6550000000000003E-3</v>
      </c>
      <c r="CT565" s="15">
        <v>4.7920000000000003E-3</v>
      </c>
      <c r="CU565" s="13"/>
      <c r="CV565" s="15">
        <v>1.864E-3</v>
      </c>
      <c r="CW565" s="15">
        <v>2.6619999999999999E-3</v>
      </c>
      <c r="CX565" s="15">
        <v>4.2599999999999999E-3</v>
      </c>
      <c r="CY565" s="15">
        <v>7.9900000000000001E-4</v>
      </c>
      <c r="CZ565" s="15">
        <v>1.065E-3</v>
      </c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6">
        <f>SUM(H565:DL565)</f>
        <v>1.0000000000000002</v>
      </c>
    </row>
    <row r="566" spans="1:117" x14ac:dyDescent="0.3">
      <c r="A566" s="17" t="s">
        <v>535</v>
      </c>
      <c r="B566" s="13" t="s">
        <v>536</v>
      </c>
      <c r="C566" s="13" t="s">
        <v>277</v>
      </c>
      <c r="D566" s="13">
        <v>13605.68</v>
      </c>
      <c r="E566" s="13">
        <f>28175*B2</f>
        <v>28175</v>
      </c>
      <c r="F566" s="13">
        <f>D566*E566</f>
        <v>383340034</v>
      </c>
      <c r="G566" s="14">
        <f>F566/A1</f>
        <v>4.9146886433580773E-3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8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8"/>
      <c r="CN566" s="18"/>
      <c r="CO566" s="18"/>
      <c r="CP566" s="18"/>
      <c r="CQ566" s="18"/>
      <c r="CR566" s="18"/>
      <c r="CS566" s="18"/>
      <c r="CT566" s="18"/>
      <c r="CU566" s="13"/>
      <c r="CV566" s="18"/>
      <c r="CW566" s="18"/>
      <c r="CX566" s="18"/>
      <c r="CY566" s="18"/>
      <c r="CZ566" s="18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9"/>
    </row>
    <row r="567" spans="1:117" x14ac:dyDescent="0.3">
      <c r="A567" s="12"/>
      <c r="B567" s="13"/>
      <c r="C567" s="13"/>
      <c r="D567" s="13"/>
      <c r="E567" s="13"/>
      <c r="F567" s="13"/>
      <c r="G567" s="1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20">
        <f>+$D566*BF565</f>
        <v>11984.07342352</v>
      </c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20">
        <f t="shared" ref="CM567:CT567" si="22">+$D566*CM565</f>
        <v>202.83347744</v>
      </c>
      <c r="CN567" s="20">
        <f t="shared" si="22"/>
        <v>278.90283432000001</v>
      </c>
      <c r="CO567" s="20">
        <f t="shared" si="22"/>
        <v>428.12993256000004</v>
      </c>
      <c r="CP567" s="20">
        <f t="shared" si="22"/>
        <v>266.22234056000002</v>
      </c>
      <c r="CQ567" s="20">
        <f t="shared" si="22"/>
        <v>56.137035680000004</v>
      </c>
      <c r="CR567" s="20">
        <f t="shared" si="22"/>
        <v>88.736244960000008</v>
      </c>
      <c r="CS567" s="20">
        <f t="shared" si="22"/>
        <v>90.545800400000005</v>
      </c>
      <c r="CT567" s="20">
        <f t="shared" si="22"/>
        <v>65.198418560000007</v>
      </c>
      <c r="CU567" s="13"/>
      <c r="CV567" s="20">
        <f>+$D566*CV565</f>
        <v>25.360987520000002</v>
      </c>
      <c r="CW567" s="20">
        <f>+$D566*CW565</f>
        <v>36.218320159999998</v>
      </c>
      <c r="CX567" s="20">
        <f>+$D566*CX565</f>
        <v>57.960196799999999</v>
      </c>
      <c r="CY567" s="20">
        <f>+$D566*CY565</f>
        <v>10.87093832</v>
      </c>
      <c r="CZ567" s="20">
        <f>+$D566*CZ565</f>
        <v>14.4900492</v>
      </c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21">
        <f>SUM(H567:DL567)</f>
        <v>13605.679999999998</v>
      </c>
    </row>
    <row r="568" spans="1:117" x14ac:dyDescent="0.3">
      <c r="A568" s="12"/>
      <c r="B568" s="13"/>
      <c r="C568" s="13"/>
      <c r="D568" s="13"/>
      <c r="E568" s="13"/>
      <c r="F568" s="13"/>
      <c r="G568" s="1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5">
        <v>1</v>
      </c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6">
        <f>SUM(H568:DL568)</f>
        <v>1</v>
      </c>
    </row>
    <row r="569" spans="1:117" x14ac:dyDescent="0.3">
      <c r="A569" s="17" t="s">
        <v>537</v>
      </c>
      <c r="B569" s="13" t="s">
        <v>538</v>
      </c>
      <c r="C569" s="13" t="s">
        <v>280</v>
      </c>
      <c r="D569" s="13">
        <v>1</v>
      </c>
      <c r="E569" s="13">
        <f>60841376.5129*B2</f>
        <v>60841376.512900002</v>
      </c>
      <c r="F569" s="13">
        <f>D569*E569</f>
        <v>60841376.512900002</v>
      </c>
      <c r="G569" s="14">
        <f>F569/A1</f>
        <v>7.800292055961535E-4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8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9"/>
    </row>
    <row r="570" spans="1:117" x14ac:dyDescent="0.3">
      <c r="A570" s="12"/>
      <c r="B570" s="13"/>
      <c r="C570" s="13"/>
      <c r="D570" s="13"/>
      <c r="E570" s="13"/>
      <c r="F570" s="13"/>
      <c r="G570" s="1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20">
        <f>+$D569*BF568</f>
        <v>1</v>
      </c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21">
        <f>SUM(H570:DL570)</f>
        <v>1</v>
      </c>
    </row>
    <row r="571" spans="1:117" x14ac:dyDescent="0.3">
      <c r="A571" s="12"/>
      <c r="B571" s="13"/>
      <c r="C571" s="13"/>
      <c r="D571" s="13"/>
      <c r="E571" s="13"/>
      <c r="F571" s="13"/>
      <c r="G571" s="1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6">
        <f>SUM(H571:DL571)</f>
        <v>0</v>
      </c>
    </row>
    <row r="572" spans="1:117" x14ac:dyDescent="0.3">
      <c r="A572" s="17" t="s">
        <v>539</v>
      </c>
      <c r="B572" s="13" t="s">
        <v>540</v>
      </c>
      <c r="C572" s="13" t="s">
        <v>280</v>
      </c>
      <c r="D572" s="13">
        <v>0</v>
      </c>
      <c r="E572" s="13">
        <f>20969698.4391*B2</f>
        <v>20969698.439100001</v>
      </c>
      <c r="F572" s="13">
        <f>D572*E572</f>
        <v>0</v>
      </c>
      <c r="G572" s="14">
        <f>F572/A1</f>
        <v>0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9"/>
    </row>
    <row r="573" spans="1:117" x14ac:dyDescent="0.3">
      <c r="A573" s="12"/>
      <c r="B573" s="13"/>
      <c r="C573" s="13"/>
      <c r="D573" s="13"/>
      <c r="E573" s="13"/>
      <c r="F573" s="13"/>
      <c r="G573" s="1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21">
        <f>SUM(H573:DL573)</f>
        <v>0</v>
      </c>
    </row>
    <row r="574" spans="1:117" x14ac:dyDescent="0.3">
      <c r="A574" s="12"/>
      <c r="B574" s="13"/>
      <c r="C574" s="13"/>
      <c r="D574" s="13"/>
      <c r="E574" s="13"/>
      <c r="F574" s="13"/>
      <c r="G574" s="1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5">
        <v>0.7</v>
      </c>
      <c r="CS574" s="13"/>
      <c r="CT574" s="15">
        <v>0.3</v>
      </c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6">
        <f>SUM(H574:DL574)</f>
        <v>1</v>
      </c>
    </row>
    <row r="575" spans="1:117" x14ac:dyDescent="0.3">
      <c r="A575" s="17" t="s">
        <v>541</v>
      </c>
      <c r="B575" s="13" t="s">
        <v>542</v>
      </c>
      <c r="C575" s="13" t="s">
        <v>280</v>
      </c>
      <c r="D575" s="13">
        <v>1</v>
      </c>
      <c r="E575" s="13">
        <f>68247687.7487*B2</f>
        <v>68247687.748699993</v>
      </c>
      <c r="F575" s="13">
        <f>D575*E575</f>
        <v>68247687.748699993</v>
      </c>
      <c r="G575" s="14">
        <f>F575/A1</f>
        <v>8.7498332071933821E-4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8"/>
      <c r="CS575" s="13"/>
      <c r="CT575" s="18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9"/>
    </row>
    <row r="576" spans="1:117" x14ac:dyDescent="0.3">
      <c r="A576" s="12"/>
      <c r="B576" s="13"/>
      <c r="C576" s="13"/>
      <c r="D576" s="13"/>
      <c r="E576" s="13"/>
      <c r="F576" s="13"/>
      <c r="G576" s="1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20">
        <f>+$D575*CR574</f>
        <v>0.7</v>
      </c>
      <c r="CS576" s="13"/>
      <c r="CT576" s="20">
        <f>+$D575*CT574</f>
        <v>0.3</v>
      </c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21">
        <f>SUM(H576:DL576)</f>
        <v>1</v>
      </c>
    </row>
    <row r="577" spans="1:117" x14ac:dyDescent="0.3">
      <c r="A577" s="12"/>
      <c r="B577" s="13"/>
      <c r="C577" s="13"/>
      <c r="D577" s="13"/>
      <c r="E577" s="13"/>
      <c r="F577" s="13"/>
      <c r="G577" s="1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5">
        <v>0.25</v>
      </c>
      <c r="CU577" s="15">
        <v>0.4</v>
      </c>
      <c r="CV577" s="15">
        <v>0.35</v>
      </c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6">
        <f>SUM(H577:DL577)</f>
        <v>1</v>
      </c>
    </row>
    <row r="578" spans="1:117" x14ac:dyDescent="0.3">
      <c r="A578" s="17" t="s">
        <v>543</v>
      </c>
      <c r="B578" s="13" t="s">
        <v>544</v>
      </c>
      <c r="C578" s="13" t="s">
        <v>280</v>
      </c>
      <c r="D578" s="13">
        <v>1</v>
      </c>
      <c r="E578" s="13">
        <f>54690622.2739*B2</f>
        <v>54690622.273900002</v>
      </c>
      <c r="F578" s="13">
        <f>D578*E578</f>
        <v>54690622.273900002</v>
      </c>
      <c r="G578" s="14">
        <f>F578/A1</f>
        <v>7.011722135646355E-4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8"/>
      <c r="CU578" s="18"/>
      <c r="CV578" s="18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9"/>
    </row>
    <row r="579" spans="1:117" x14ac:dyDescent="0.3">
      <c r="A579" s="12"/>
      <c r="B579" s="13"/>
      <c r="C579" s="13"/>
      <c r="D579" s="13"/>
      <c r="E579" s="13"/>
      <c r="F579" s="13"/>
      <c r="G579" s="1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20">
        <f>+$D578*CT577</f>
        <v>0.25</v>
      </c>
      <c r="CU579" s="20">
        <f>+$D578*CU577</f>
        <v>0.4</v>
      </c>
      <c r="CV579" s="20">
        <f>+$D578*CV577</f>
        <v>0.35</v>
      </c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21">
        <f>SUM(H579:DL579)</f>
        <v>1</v>
      </c>
    </row>
    <row r="580" spans="1:117" x14ac:dyDescent="0.3">
      <c r="A580" s="12"/>
      <c r="B580" s="13"/>
      <c r="C580" s="13"/>
      <c r="D580" s="13"/>
      <c r="E580" s="13"/>
      <c r="F580" s="13"/>
      <c r="G580" s="1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5">
        <v>0.283333</v>
      </c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5">
        <v>0.23333300000000001</v>
      </c>
      <c r="CN580" s="15">
        <v>0.23333300000000001</v>
      </c>
      <c r="CO580" s="13"/>
      <c r="CP580" s="15">
        <v>0.25000099999999997</v>
      </c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6">
        <f>SUM(H580:DL580)</f>
        <v>1</v>
      </c>
    </row>
    <row r="581" spans="1:117" x14ac:dyDescent="0.3">
      <c r="A581" s="17" t="s">
        <v>545</v>
      </c>
      <c r="B581" s="13" t="s">
        <v>546</v>
      </c>
      <c r="C581" s="13" t="s">
        <v>280</v>
      </c>
      <c r="D581" s="13">
        <v>3</v>
      </c>
      <c r="E581" s="13">
        <f>30251139.5643*B2</f>
        <v>30251139.564300001</v>
      </c>
      <c r="F581" s="13">
        <f>D581*E581</f>
        <v>90753418.692900002</v>
      </c>
      <c r="G581" s="14">
        <f>F581/A1</f>
        <v>1.1635226082228507E-3</v>
      </c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8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8"/>
      <c r="CN581" s="18"/>
      <c r="CO581" s="13"/>
      <c r="CP581" s="18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9"/>
    </row>
    <row r="582" spans="1:117" x14ac:dyDescent="0.3">
      <c r="A582" s="12"/>
      <c r="B582" s="13"/>
      <c r="C582" s="13"/>
      <c r="D582" s="13"/>
      <c r="E582" s="13"/>
      <c r="F582" s="13"/>
      <c r="G582" s="1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20">
        <f>+$D581*BI580</f>
        <v>0.84999899999999995</v>
      </c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20">
        <f>+$D581*CM580</f>
        <v>0.69999900000000004</v>
      </c>
      <c r="CN582" s="20">
        <f>+$D581*CN580</f>
        <v>0.69999900000000004</v>
      </c>
      <c r="CO582" s="13"/>
      <c r="CP582" s="20">
        <f>+$D581*CP580</f>
        <v>0.75000299999999998</v>
      </c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21">
        <f>SUM(H582:DL582)</f>
        <v>3</v>
      </c>
    </row>
    <row r="583" spans="1:117" x14ac:dyDescent="0.3">
      <c r="A583" s="12"/>
      <c r="B583" s="13"/>
      <c r="C583" s="13"/>
      <c r="D583" s="13"/>
      <c r="E583" s="13"/>
      <c r="F583" s="13"/>
      <c r="G583" s="1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5">
        <v>0.42</v>
      </c>
      <c r="CO583" s="15">
        <v>0.28000000000000003</v>
      </c>
      <c r="CP583" s="15">
        <v>0.12</v>
      </c>
      <c r="CQ583" s="15">
        <v>0.06</v>
      </c>
      <c r="CR583" s="15">
        <v>0.12</v>
      </c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6">
        <f>SUM(H583:DL583)</f>
        <v>0.99999999999999989</v>
      </c>
    </row>
    <row r="584" spans="1:117" x14ac:dyDescent="0.3">
      <c r="A584" s="17" t="s">
        <v>547</v>
      </c>
      <c r="B584" s="13" t="s">
        <v>548</v>
      </c>
      <c r="C584" s="13" t="s">
        <v>280</v>
      </c>
      <c r="D584" s="13">
        <v>5</v>
      </c>
      <c r="E584" s="13">
        <f>10801014.2937*B2</f>
        <v>10801014.2937</v>
      </c>
      <c r="F584" s="13">
        <f>D584*E584</f>
        <v>54005071.468500003</v>
      </c>
      <c r="G584" s="14">
        <f>F584/A1</f>
        <v>6.9238297044127222E-4</v>
      </c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8"/>
      <c r="CO584" s="18"/>
      <c r="CP584" s="18"/>
      <c r="CQ584" s="18"/>
      <c r="CR584" s="18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9"/>
    </row>
    <row r="585" spans="1:117" x14ac:dyDescent="0.3">
      <c r="A585" s="12"/>
      <c r="B585" s="13"/>
      <c r="C585" s="13"/>
      <c r="D585" s="13"/>
      <c r="E585" s="13"/>
      <c r="F585" s="13"/>
      <c r="G585" s="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20">
        <f>+$D584*CN583</f>
        <v>2.1</v>
      </c>
      <c r="CO585" s="20">
        <f>+$D584*CO583</f>
        <v>1.4000000000000001</v>
      </c>
      <c r="CP585" s="20">
        <f>+$D584*CP583</f>
        <v>0.6</v>
      </c>
      <c r="CQ585" s="20">
        <f>+$D584*CQ583</f>
        <v>0.3</v>
      </c>
      <c r="CR585" s="20">
        <f>+$D584*CR583</f>
        <v>0.6</v>
      </c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21">
        <f>SUM(H585:DL585)</f>
        <v>4.9999999999999991</v>
      </c>
    </row>
    <row r="586" spans="1:117" x14ac:dyDescent="0.3">
      <c r="A586" s="12"/>
      <c r="B586" s="13"/>
      <c r="C586" s="13"/>
      <c r="D586" s="13"/>
      <c r="E586" s="13"/>
      <c r="F586" s="13"/>
      <c r="G586" s="1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5">
        <v>0.7</v>
      </c>
      <c r="CP586" s="13"/>
      <c r="CQ586" s="15">
        <v>0.3</v>
      </c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6">
        <f>SUM(H586:DL586)</f>
        <v>1</v>
      </c>
    </row>
    <row r="587" spans="1:117" x14ac:dyDescent="0.3">
      <c r="A587" s="17" t="s">
        <v>549</v>
      </c>
      <c r="B587" s="13" t="s">
        <v>550</v>
      </c>
      <c r="C587" s="13" t="s">
        <v>280</v>
      </c>
      <c r="D587" s="13">
        <v>1</v>
      </c>
      <c r="E587" s="13">
        <f>34473499.4557*B2</f>
        <v>34473499.455700003</v>
      </c>
      <c r="F587" s="13">
        <f>D587*E587</f>
        <v>34473499.455700003</v>
      </c>
      <c r="G587" s="14">
        <f>F587/A1</f>
        <v>4.4197449064696347E-4</v>
      </c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8"/>
      <c r="CP587" s="13"/>
      <c r="CQ587" s="18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9"/>
    </row>
    <row r="588" spans="1:117" x14ac:dyDescent="0.3">
      <c r="A588" s="12"/>
      <c r="B588" s="13"/>
      <c r="C588" s="13"/>
      <c r="D588" s="13"/>
      <c r="E588" s="13"/>
      <c r="F588" s="13"/>
      <c r="G588" s="1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20">
        <f>+$D587*CO586</f>
        <v>0.7</v>
      </c>
      <c r="CP588" s="13"/>
      <c r="CQ588" s="20">
        <f>+$D587*CQ586</f>
        <v>0.3</v>
      </c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21">
        <f>SUM(H588:DL588)</f>
        <v>1</v>
      </c>
    </row>
    <row r="589" spans="1:117" x14ac:dyDescent="0.3">
      <c r="A589" s="12"/>
      <c r="B589" s="13"/>
      <c r="C589" s="13"/>
      <c r="D589" s="13"/>
      <c r="E589" s="13"/>
      <c r="F589" s="13"/>
      <c r="G589" s="1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5">
        <v>4.5999999999999999E-2</v>
      </c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5">
        <v>0.16333300000000001</v>
      </c>
      <c r="CN589" s="15">
        <v>0.16333300000000001</v>
      </c>
      <c r="CO589" s="15">
        <v>0.30066700000000002</v>
      </c>
      <c r="CP589" s="15">
        <v>0.16666700000000001</v>
      </c>
      <c r="CQ589" s="15">
        <v>0.01</v>
      </c>
      <c r="CR589" s="15">
        <v>0.05</v>
      </c>
      <c r="CS589" s="15">
        <v>0.05</v>
      </c>
      <c r="CT589" s="15">
        <v>0.05</v>
      </c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6">
        <f>SUM(H589:DL589)</f>
        <v>1</v>
      </c>
    </row>
    <row r="590" spans="1:117" x14ac:dyDescent="0.3">
      <c r="A590" s="17" t="s">
        <v>551</v>
      </c>
      <c r="B590" s="13" t="s">
        <v>552</v>
      </c>
      <c r="C590" s="13" t="s">
        <v>280</v>
      </c>
      <c r="D590" s="13">
        <v>30</v>
      </c>
      <c r="E590" s="13">
        <f>13624169.3375*B2</f>
        <v>13624169.3375</v>
      </c>
      <c r="F590" s="13">
        <f>D590*E590</f>
        <v>408725080.125</v>
      </c>
      <c r="G590" s="14">
        <f>F590/A1</f>
        <v>5.2401427750328779E-3</v>
      </c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8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8"/>
      <c r="CN590" s="18"/>
      <c r="CO590" s="18"/>
      <c r="CP590" s="18"/>
      <c r="CQ590" s="18"/>
      <c r="CR590" s="18"/>
      <c r="CS590" s="18"/>
      <c r="CT590" s="18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9"/>
    </row>
    <row r="591" spans="1:117" x14ac:dyDescent="0.3">
      <c r="A591" s="12"/>
      <c r="B591" s="13"/>
      <c r="C591" s="13"/>
      <c r="D591" s="13"/>
      <c r="E591" s="13"/>
      <c r="F591" s="13"/>
      <c r="G591" s="1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20">
        <f>+$D590*BF589</f>
        <v>1.38</v>
      </c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20">
        <f t="shared" ref="CM591:CT591" si="23">+$D590*CM589</f>
        <v>4.8999899999999998</v>
      </c>
      <c r="CN591" s="20">
        <f t="shared" si="23"/>
        <v>4.8999899999999998</v>
      </c>
      <c r="CO591" s="20">
        <f t="shared" si="23"/>
        <v>9.020010000000001</v>
      </c>
      <c r="CP591" s="20">
        <f t="shared" si="23"/>
        <v>5.0000100000000005</v>
      </c>
      <c r="CQ591" s="20">
        <f t="shared" si="23"/>
        <v>0.3</v>
      </c>
      <c r="CR591" s="20">
        <f t="shared" si="23"/>
        <v>1.5</v>
      </c>
      <c r="CS591" s="20">
        <f t="shared" si="23"/>
        <v>1.5</v>
      </c>
      <c r="CT591" s="20">
        <f t="shared" si="23"/>
        <v>1.5</v>
      </c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21">
        <f>SUM(H591:DL591)</f>
        <v>30</v>
      </c>
    </row>
    <row r="592" spans="1:117" x14ac:dyDescent="0.3">
      <c r="A592" s="12"/>
      <c r="B592" s="13"/>
      <c r="C592" s="13"/>
      <c r="D592" s="13"/>
      <c r="E592" s="13"/>
      <c r="F592" s="13"/>
      <c r="G592" s="1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5">
        <v>0.762656</v>
      </c>
      <c r="BG592" s="13"/>
      <c r="BH592" s="15">
        <v>9.5119999999999996E-3</v>
      </c>
      <c r="BI592" s="15">
        <v>0.16122600000000001</v>
      </c>
      <c r="BJ592" s="15">
        <v>3.0300000000000001E-2</v>
      </c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5">
        <v>2.7650000000000001E-3</v>
      </c>
      <c r="CN592" s="15">
        <v>3.8010000000000001E-3</v>
      </c>
      <c r="CO592" s="15">
        <v>7.0780000000000001E-3</v>
      </c>
      <c r="CP592" s="15">
        <v>5.4039999999999999E-3</v>
      </c>
      <c r="CQ592" s="15">
        <v>1.9189999999999999E-3</v>
      </c>
      <c r="CR592" s="15">
        <v>1.8309999999999999E-3</v>
      </c>
      <c r="CS592" s="15">
        <v>3.0100000000000001E-3</v>
      </c>
      <c r="CT592" s="15">
        <v>1.421E-3</v>
      </c>
      <c r="CU592" s="13"/>
      <c r="CV592" s="15">
        <v>1.588E-3</v>
      </c>
      <c r="CW592" s="15">
        <v>2.2690000000000002E-3</v>
      </c>
      <c r="CX592" s="15">
        <v>3.6310000000000001E-3</v>
      </c>
      <c r="CY592" s="15">
        <v>6.8099999999999996E-4</v>
      </c>
      <c r="CZ592" s="15">
        <v>9.0799999999999995E-4</v>
      </c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6">
        <f>SUM(H592:DL592)</f>
        <v>1</v>
      </c>
    </row>
    <row r="593" spans="1:117" x14ac:dyDescent="0.3">
      <c r="A593" s="17" t="s">
        <v>553</v>
      </c>
      <c r="B593" s="13" t="s">
        <v>554</v>
      </c>
      <c r="C593" s="13" t="s">
        <v>126</v>
      </c>
      <c r="D593" s="13">
        <v>12541.43</v>
      </c>
      <c r="E593" s="13">
        <f>17504.2664*B2</f>
        <v>17504.2664</v>
      </c>
      <c r="F593" s="13">
        <f>D593*E593</f>
        <v>219528531.75695202</v>
      </c>
      <c r="G593" s="14">
        <f>F593/A1</f>
        <v>2.8145100595440681E-3</v>
      </c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8"/>
      <c r="BG593" s="13"/>
      <c r="BH593" s="18"/>
      <c r="BI593" s="18"/>
      <c r="BJ593" s="18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8"/>
      <c r="CN593" s="18"/>
      <c r="CO593" s="18"/>
      <c r="CP593" s="18"/>
      <c r="CQ593" s="18"/>
      <c r="CR593" s="18"/>
      <c r="CS593" s="18"/>
      <c r="CT593" s="18"/>
      <c r="CU593" s="13"/>
      <c r="CV593" s="18"/>
      <c r="CW593" s="18"/>
      <c r="CX593" s="18"/>
      <c r="CY593" s="18"/>
      <c r="CZ593" s="18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9"/>
    </row>
    <row r="594" spans="1:117" x14ac:dyDescent="0.3">
      <c r="A594" s="12"/>
      <c r="B594" s="13"/>
      <c r="C594" s="13"/>
      <c r="D594" s="13"/>
      <c r="E594" s="13"/>
      <c r="F594" s="13"/>
      <c r="G594" s="1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20">
        <f>+$D593*BF592</f>
        <v>9564.7968380799994</v>
      </c>
      <c r="BG594" s="13"/>
      <c r="BH594" s="20">
        <f>+$D593*BH592</f>
        <v>119.29408216</v>
      </c>
      <c r="BI594" s="20">
        <f>+$D593*BI592</f>
        <v>2022.0045931800003</v>
      </c>
      <c r="BJ594" s="20">
        <f>+$D593*BJ592</f>
        <v>380.00532900000002</v>
      </c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20">
        <f t="shared" ref="CM594:CT594" si="24">+$D593*CM592</f>
        <v>34.677053950000001</v>
      </c>
      <c r="CN594" s="20">
        <f t="shared" si="24"/>
        <v>47.669975430000001</v>
      </c>
      <c r="CO594" s="20">
        <f t="shared" si="24"/>
        <v>88.768241540000005</v>
      </c>
      <c r="CP594" s="20">
        <f t="shared" si="24"/>
        <v>67.773887720000005</v>
      </c>
      <c r="CQ594" s="20">
        <f t="shared" si="24"/>
        <v>24.067004170000001</v>
      </c>
      <c r="CR594" s="20">
        <f t="shared" si="24"/>
        <v>22.963358329999998</v>
      </c>
      <c r="CS594" s="20">
        <f t="shared" si="24"/>
        <v>37.749704300000005</v>
      </c>
      <c r="CT594" s="20">
        <f t="shared" si="24"/>
        <v>17.821372029999999</v>
      </c>
      <c r="CU594" s="13"/>
      <c r="CV594" s="20">
        <f>+$D593*CV592</f>
        <v>19.91579084</v>
      </c>
      <c r="CW594" s="20">
        <f>+$D593*CW592</f>
        <v>28.456504670000005</v>
      </c>
      <c r="CX594" s="20">
        <f>+$D593*CX592</f>
        <v>45.537932330000004</v>
      </c>
      <c r="CY594" s="20">
        <f>+$D593*CY592</f>
        <v>8.5407138299999996</v>
      </c>
      <c r="CZ594" s="20">
        <f>+$D593*CZ592</f>
        <v>11.387618439999999</v>
      </c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21">
        <f>SUM(H594:DL594)</f>
        <v>12541.429999999998</v>
      </c>
    </row>
    <row r="595" spans="1:117" x14ac:dyDescent="0.3">
      <c r="A595" s="8" t="s">
        <v>555</v>
      </c>
      <c r="B595" s="9" t="s">
        <v>556</v>
      </c>
      <c r="C595" s="9"/>
      <c r="D595" s="9"/>
      <c r="E595" s="9"/>
      <c r="F595" s="9"/>
      <c r="G595" s="1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11"/>
    </row>
    <row r="596" spans="1:117" x14ac:dyDescent="0.3">
      <c r="A596" s="12"/>
      <c r="B596" s="13"/>
      <c r="C596" s="13"/>
      <c r="D596" s="13"/>
      <c r="E596" s="13"/>
      <c r="F596" s="13"/>
      <c r="G596" s="1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5">
        <v>0.2</v>
      </c>
      <c r="CP596" s="15">
        <v>0.2</v>
      </c>
      <c r="CQ596" s="13"/>
      <c r="CR596" s="15">
        <v>0.2</v>
      </c>
      <c r="CS596" s="13"/>
      <c r="CT596" s="13"/>
      <c r="CU596" s="13"/>
      <c r="CV596" s="13"/>
      <c r="CW596" s="13"/>
      <c r="CX596" s="15">
        <v>0.2</v>
      </c>
      <c r="CY596" s="13"/>
      <c r="CZ596" s="15">
        <v>0.2</v>
      </c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6">
        <f>SUM(H596:DL596)</f>
        <v>1</v>
      </c>
    </row>
    <row r="597" spans="1:117" x14ac:dyDescent="0.3">
      <c r="A597" s="17" t="s">
        <v>557</v>
      </c>
      <c r="B597" s="13" t="s">
        <v>558</v>
      </c>
      <c r="C597" s="13" t="s">
        <v>280</v>
      </c>
      <c r="D597" s="13">
        <v>5</v>
      </c>
      <c r="E597" s="13">
        <f>3707558.1065*B2</f>
        <v>3707558.1065000002</v>
      </c>
      <c r="F597" s="13">
        <f>D597*E597</f>
        <v>18537790.532500003</v>
      </c>
      <c r="G597" s="14">
        <f>F597/A1</f>
        <v>2.376675027973432E-4</v>
      </c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8"/>
      <c r="CP597" s="18"/>
      <c r="CQ597" s="13"/>
      <c r="CR597" s="18"/>
      <c r="CS597" s="13"/>
      <c r="CT597" s="13"/>
      <c r="CU597" s="13"/>
      <c r="CV597" s="13"/>
      <c r="CW597" s="13"/>
      <c r="CX597" s="18"/>
      <c r="CY597" s="13"/>
      <c r="CZ597" s="18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9"/>
    </row>
    <row r="598" spans="1:117" x14ac:dyDescent="0.3">
      <c r="A598" s="12"/>
      <c r="B598" s="13"/>
      <c r="C598" s="13"/>
      <c r="D598" s="13"/>
      <c r="E598" s="13"/>
      <c r="F598" s="13"/>
      <c r="G598" s="1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20">
        <f>+$D597*CO596</f>
        <v>1</v>
      </c>
      <c r="CP598" s="20">
        <f>+$D597*CP596</f>
        <v>1</v>
      </c>
      <c r="CQ598" s="13"/>
      <c r="CR598" s="20">
        <f>+$D597*CR596</f>
        <v>1</v>
      </c>
      <c r="CS598" s="13"/>
      <c r="CT598" s="13"/>
      <c r="CU598" s="13"/>
      <c r="CV598" s="13"/>
      <c r="CW598" s="13"/>
      <c r="CX598" s="20">
        <f>+$D597*CX596</f>
        <v>1</v>
      </c>
      <c r="CY598" s="13"/>
      <c r="CZ598" s="20">
        <f>+$D597*CZ596</f>
        <v>1</v>
      </c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21">
        <f>SUM(H598:DL598)</f>
        <v>5</v>
      </c>
    </row>
    <row r="599" spans="1:117" x14ac:dyDescent="0.3">
      <c r="A599" s="12"/>
      <c r="B599" s="13"/>
      <c r="C599" s="13"/>
      <c r="D599" s="13"/>
      <c r="E599" s="13"/>
      <c r="F599" s="13"/>
      <c r="G599" s="1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5">
        <v>0.963287</v>
      </c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5">
        <v>4.5919999999999997E-3</v>
      </c>
      <c r="CN599" s="15">
        <v>6.3140000000000002E-3</v>
      </c>
      <c r="CO599" s="15">
        <v>9.6930000000000002E-3</v>
      </c>
      <c r="CP599" s="15">
        <v>6.0270000000000002E-3</v>
      </c>
      <c r="CQ599" s="15">
        <v>1.271E-3</v>
      </c>
      <c r="CR599" s="15">
        <v>2.0089999999999999E-3</v>
      </c>
      <c r="CS599" s="15">
        <v>2.0500000000000002E-3</v>
      </c>
      <c r="CT599" s="15">
        <v>1.4760000000000001E-3</v>
      </c>
      <c r="CU599" s="13"/>
      <c r="CV599" s="15">
        <v>5.7399999999999997E-4</v>
      </c>
      <c r="CW599" s="15">
        <v>8.1999999999999998E-4</v>
      </c>
      <c r="CX599" s="15">
        <v>1.312E-3</v>
      </c>
      <c r="CY599" s="15">
        <v>2.4600000000000002E-4</v>
      </c>
      <c r="CZ599" s="15">
        <v>3.2899999999999997E-4</v>
      </c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6">
        <f>SUM(H599:DL599)</f>
        <v>1</v>
      </c>
    </row>
    <row r="600" spans="1:117" x14ac:dyDescent="0.3">
      <c r="A600" s="17" t="s">
        <v>559</v>
      </c>
      <c r="B600" s="13" t="s">
        <v>560</v>
      </c>
      <c r="C600" s="13" t="s">
        <v>126</v>
      </c>
      <c r="D600" s="13">
        <v>10234.23</v>
      </c>
      <c r="E600" s="13">
        <f>3667.1953*B2</f>
        <v>3667.1952999999999</v>
      </c>
      <c r="F600" s="13">
        <f>D600*E600</f>
        <v>37530920.155118994</v>
      </c>
      <c r="G600" s="14">
        <f>F600/A1</f>
        <v>4.811727727376945E-4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8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8"/>
      <c r="CN600" s="18"/>
      <c r="CO600" s="18"/>
      <c r="CP600" s="18"/>
      <c r="CQ600" s="18"/>
      <c r="CR600" s="18"/>
      <c r="CS600" s="18"/>
      <c r="CT600" s="18"/>
      <c r="CU600" s="13"/>
      <c r="CV600" s="18"/>
      <c r="CW600" s="18"/>
      <c r="CX600" s="18"/>
      <c r="CY600" s="18"/>
      <c r="CZ600" s="18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9"/>
    </row>
    <row r="601" spans="1:117" x14ac:dyDescent="0.3">
      <c r="A601" s="12"/>
      <c r="B601" s="13"/>
      <c r="C601" s="13"/>
      <c r="D601" s="13"/>
      <c r="E601" s="13"/>
      <c r="F601" s="13"/>
      <c r="G601" s="1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20">
        <f>+$D600*BF599</f>
        <v>9858.5007140099988</v>
      </c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20">
        <f t="shared" ref="CM601:CT601" si="25">+$D600*CM599</f>
        <v>46.995584159999993</v>
      </c>
      <c r="CN601" s="20">
        <f t="shared" si="25"/>
        <v>64.618928220000001</v>
      </c>
      <c r="CO601" s="20">
        <f t="shared" si="25"/>
        <v>99.200391389999993</v>
      </c>
      <c r="CP601" s="20">
        <f t="shared" si="25"/>
        <v>61.681704209999999</v>
      </c>
      <c r="CQ601" s="20">
        <f t="shared" si="25"/>
        <v>13.00770633</v>
      </c>
      <c r="CR601" s="20">
        <f t="shared" si="25"/>
        <v>20.560568069999999</v>
      </c>
      <c r="CS601" s="20">
        <f t="shared" si="25"/>
        <v>20.980171500000001</v>
      </c>
      <c r="CT601" s="20">
        <f t="shared" si="25"/>
        <v>15.10572348</v>
      </c>
      <c r="CU601" s="13"/>
      <c r="CV601" s="20">
        <f>+$D600*CV599</f>
        <v>5.8744480199999991</v>
      </c>
      <c r="CW601" s="20">
        <f>+$D600*CW599</f>
        <v>8.3920686</v>
      </c>
      <c r="CX601" s="20">
        <f>+$D600*CX599</f>
        <v>13.42730976</v>
      </c>
      <c r="CY601" s="20">
        <f>+$D600*CY599</f>
        <v>2.51762058</v>
      </c>
      <c r="CZ601" s="20">
        <f>+$D600*CZ599</f>
        <v>3.3670616699999996</v>
      </c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21">
        <f>SUM(H601:DL601)</f>
        <v>10234.229999999996</v>
      </c>
    </row>
    <row r="602" spans="1:117" x14ac:dyDescent="0.3">
      <c r="A602" s="12"/>
      <c r="B602" s="13"/>
      <c r="C602" s="13"/>
      <c r="D602" s="13"/>
      <c r="E602" s="13"/>
      <c r="F602" s="13"/>
      <c r="G602" s="1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5">
        <v>0.3</v>
      </c>
      <c r="CY602" s="15">
        <v>0.3</v>
      </c>
      <c r="CZ602" s="15">
        <v>0.4</v>
      </c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6">
        <f>SUM(H602:DL602)</f>
        <v>1</v>
      </c>
    </row>
    <row r="603" spans="1:117" x14ac:dyDescent="0.3">
      <c r="A603" s="17" t="s">
        <v>561</v>
      </c>
      <c r="B603" s="13" t="s">
        <v>562</v>
      </c>
      <c r="C603" s="13" t="s">
        <v>319</v>
      </c>
      <c r="D603" s="13">
        <v>1</v>
      </c>
      <c r="E603" s="13">
        <f>102842749.7363*B2</f>
        <v>102842749.73630001</v>
      </c>
      <c r="F603" s="13">
        <f>D603*E603</f>
        <v>102842749.73630001</v>
      </c>
      <c r="G603" s="14">
        <f>F603/A1</f>
        <v>1.3185163284581713E-3</v>
      </c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8"/>
      <c r="CY603" s="18"/>
      <c r="CZ603" s="18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9"/>
    </row>
    <row r="604" spans="1:117" x14ac:dyDescent="0.3">
      <c r="A604" s="12"/>
      <c r="B604" s="13"/>
      <c r="C604" s="13"/>
      <c r="D604" s="13"/>
      <c r="E604" s="13"/>
      <c r="F604" s="13"/>
      <c r="G604" s="1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20">
        <f>+$D603*CX602</f>
        <v>0.3</v>
      </c>
      <c r="CY604" s="20">
        <f>+$D603*CY602</f>
        <v>0.3</v>
      </c>
      <c r="CZ604" s="20">
        <f>+$D603*CZ602</f>
        <v>0.4</v>
      </c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21">
        <f>SUM(H604:DL604)</f>
        <v>1</v>
      </c>
    </row>
    <row r="605" spans="1:117" x14ac:dyDescent="0.3">
      <c r="A605" s="12"/>
      <c r="B605" s="13"/>
      <c r="C605" s="13"/>
      <c r="D605" s="13"/>
      <c r="E605" s="13"/>
      <c r="F605" s="13"/>
      <c r="G605" s="1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5">
        <v>1</v>
      </c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6">
        <f>SUM(H605:DL605)</f>
        <v>1</v>
      </c>
    </row>
    <row r="606" spans="1:117" x14ac:dyDescent="0.3">
      <c r="A606" s="17" t="s">
        <v>563</v>
      </c>
      <c r="B606" s="13" t="s">
        <v>564</v>
      </c>
      <c r="C606" s="13" t="s">
        <v>319</v>
      </c>
      <c r="D606" s="13">
        <v>1</v>
      </c>
      <c r="E606" s="13">
        <f>46045829.005*B2</f>
        <v>46045829.005000003</v>
      </c>
      <c r="F606" s="13">
        <f>D606*E606</f>
        <v>46045829.005000003</v>
      </c>
      <c r="G606" s="14">
        <f>F606/A1</f>
        <v>5.9033988838452876E-4</v>
      </c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8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9"/>
    </row>
    <row r="607" spans="1:117" x14ac:dyDescent="0.3">
      <c r="A607" s="12"/>
      <c r="B607" s="13"/>
      <c r="C607" s="13"/>
      <c r="D607" s="13"/>
      <c r="E607" s="13"/>
      <c r="F607" s="13"/>
      <c r="G607" s="1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20">
        <f>+$D606*CX605</f>
        <v>1</v>
      </c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21">
        <f>SUM(H607:DL607)</f>
        <v>1</v>
      </c>
    </row>
    <row r="608" spans="1:117" x14ac:dyDescent="0.3">
      <c r="A608" s="12"/>
      <c r="B608" s="13"/>
      <c r="C608" s="13"/>
      <c r="D608" s="13"/>
      <c r="E608" s="13"/>
      <c r="F608" s="13"/>
      <c r="G608" s="1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5">
        <v>0.7</v>
      </c>
      <c r="CW608" s="13"/>
      <c r="CX608" s="15">
        <v>0.3</v>
      </c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6">
        <f>SUM(H608:DL608)</f>
        <v>1</v>
      </c>
    </row>
    <row r="609" spans="1:117" x14ac:dyDescent="0.3">
      <c r="A609" s="17" t="s">
        <v>565</v>
      </c>
      <c r="B609" s="13" t="s">
        <v>566</v>
      </c>
      <c r="C609" s="13" t="s">
        <v>280</v>
      </c>
      <c r="D609" s="13">
        <v>1</v>
      </c>
      <c r="E609" s="13">
        <f>108197787.8348*B2</f>
        <v>108197787.8348</v>
      </c>
      <c r="F609" s="13">
        <f>D609*E609</f>
        <v>108197787.8348</v>
      </c>
      <c r="G609" s="14">
        <f>F609/A1</f>
        <v>1.3871716803472666E-3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8"/>
      <c r="CW609" s="13"/>
      <c r="CX609" s="18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9"/>
    </row>
    <row r="610" spans="1:117" x14ac:dyDescent="0.3">
      <c r="A610" s="12"/>
      <c r="B610" s="13"/>
      <c r="C610" s="13"/>
      <c r="D610" s="13"/>
      <c r="E610" s="13"/>
      <c r="F610" s="13"/>
      <c r="G610" s="1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20">
        <f>+$D609*CV608</f>
        <v>0.7</v>
      </c>
      <c r="CW610" s="13"/>
      <c r="CX610" s="20">
        <f>+$D609*CX608</f>
        <v>0.3</v>
      </c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21">
        <f>SUM(H610:DL610)</f>
        <v>1</v>
      </c>
    </row>
    <row r="611" spans="1:117" x14ac:dyDescent="0.3">
      <c r="A611" s="12"/>
      <c r="B611" s="13"/>
      <c r="C611" s="13"/>
      <c r="D611" s="13"/>
      <c r="E611" s="13"/>
      <c r="F611" s="13"/>
      <c r="G611" s="1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5">
        <v>1</v>
      </c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6">
        <f>SUM(H611:DL611)</f>
        <v>1</v>
      </c>
    </row>
    <row r="612" spans="1:117" x14ac:dyDescent="0.3">
      <c r="A612" s="17" t="s">
        <v>567</v>
      </c>
      <c r="B612" s="13" t="s">
        <v>568</v>
      </c>
      <c r="C612" s="13" t="s">
        <v>280</v>
      </c>
      <c r="D612" s="13">
        <v>1</v>
      </c>
      <c r="E612" s="13">
        <f>171726094.5389*B2</f>
        <v>171726094.53889999</v>
      </c>
      <c r="F612" s="13">
        <f>D612*E612</f>
        <v>171726094.53889999</v>
      </c>
      <c r="G612" s="14">
        <f>F612/A1</f>
        <v>2.2016492193418216E-3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8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9"/>
    </row>
    <row r="613" spans="1:117" x14ac:dyDescent="0.3">
      <c r="A613" s="12"/>
      <c r="B613" s="13"/>
      <c r="C613" s="13"/>
      <c r="D613" s="13"/>
      <c r="E613" s="13"/>
      <c r="F613" s="13"/>
      <c r="G613" s="1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20">
        <f>+$D612*CW611</f>
        <v>1</v>
      </c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21">
        <f>SUM(H613:DL613)</f>
        <v>1</v>
      </c>
    </row>
    <row r="614" spans="1:117" x14ac:dyDescent="0.3">
      <c r="A614" s="12"/>
      <c r="B614" s="13"/>
      <c r="C614" s="13"/>
      <c r="D614" s="13"/>
      <c r="E614" s="13"/>
      <c r="F614" s="13"/>
      <c r="G614" s="1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5">
        <v>0.35</v>
      </c>
      <c r="CR614" s="15">
        <v>0.35</v>
      </c>
      <c r="CS614" s="13"/>
      <c r="CT614" s="15">
        <v>0.3</v>
      </c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6">
        <f>SUM(H614:DL614)</f>
        <v>1</v>
      </c>
    </row>
    <row r="615" spans="1:117" x14ac:dyDescent="0.3">
      <c r="A615" s="17" t="s">
        <v>569</v>
      </c>
      <c r="B615" s="13" t="s">
        <v>570</v>
      </c>
      <c r="C615" s="13" t="s">
        <v>280</v>
      </c>
      <c r="D615" s="13">
        <v>1</v>
      </c>
      <c r="E615" s="13">
        <f>80930324.7237*B2</f>
        <v>80930324.723700002</v>
      </c>
      <c r="F615" s="13">
        <f>D615*E615</f>
        <v>80930324.723700002</v>
      </c>
      <c r="G615" s="14">
        <f>F615/A1</f>
        <v>1.0375836399671467E-3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8"/>
      <c r="CR615" s="18"/>
      <c r="CS615" s="13"/>
      <c r="CT615" s="18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9"/>
    </row>
    <row r="616" spans="1:117" x14ac:dyDescent="0.3">
      <c r="A616" s="12"/>
      <c r="B616" s="13"/>
      <c r="C616" s="13"/>
      <c r="D616" s="13"/>
      <c r="E616" s="13"/>
      <c r="F616" s="13"/>
      <c r="G616" s="1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20">
        <f>+$D615*CQ614</f>
        <v>0.35</v>
      </c>
      <c r="CR616" s="20">
        <f>+$D615*CR614</f>
        <v>0.35</v>
      </c>
      <c r="CS616" s="13"/>
      <c r="CT616" s="20">
        <f>+$D615*CT614</f>
        <v>0.3</v>
      </c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21">
        <f>SUM(H616:DL616)</f>
        <v>1</v>
      </c>
    </row>
    <row r="617" spans="1:117" x14ac:dyDescent="0.3">
      <c r="A617" s="12"/>
      <c r="B617" s="13"/>
      <c r="C617" s="13"/>
      <c r="D617" s="13"/>
      <c r="E617" s="13"/>
      <c r="F617" s="13"/>
      <c r="G617" s="1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5">
        <v>1</v>
      </c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6">
        <f>SUM(H617:DL617)</f>
        <v>1</v>
      </c>
    </row>
    <row r="618" spans="1:117" x14ac:dyDescent="0.3">
      <c r="A618" s="17" t="s">
        <v>571</v>
      </c>
      <c r="B618" s="13" t="s">
        <v>572</v>
      </c>
      <c r="C618" s="13" t="s">
        <v>280</v>
      </c>
      <c r="D618" s="13">
        <v>1</v>
      </c>
      <c r="E618" s="13">
        <f>156369921.1722*B2</f>
        <v>156369921.17219999</v>
      </c>
      <c r="F618" s="13">
        <f>D618*E618</f>
        <v>156369921.17219999</v>
      </c>
      <c r="G618" s="14">
        <f>F618/A1</f>
        <v>2.0047722846182276E-3</v>
      </c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8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9"/>
    </row>
    <row r="619" spans="1:117" x14ac:dyDescent="0.3">
      <c r="A619" s="12"/>
      <c r="B619" s="13"/>
      <c r="C619" s="13"/>
      <c r="D619" s="13"/>
      <c r="E619" s="13"/>
      <c r="F619" s="13"/>
      <c r="G619" s="1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20">
        <f>+$D618*CS617</f>
        <v>1</v>
      </c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21">
        <f>SUM(H619:DL619)</f>
        <v>1</v>
      </c>
    </row>
    <row r="620" spans="1:117" x14ac:dyDescent="0.3">
      <c r="A620" s="12"/>
      <c r="B620" s="13"/>
      <c r="C620" s="13"/>
      <c r="D620" s="13"/>
      <c r="E620" s="13"/>
      <c r="F620" s="13"/>
      <c r="G620" s="1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5">
        <v>0.7</v>
      </c>
      <c r="CP620" s="13"/>
      <c r="CQ620" s="15">
        <v>0.3</v>
      </c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6">
        <f>SUM(H620:DL620)</f>
        <v>1</v>
      </c>
    </row>
    <row r="621" spans="1:117" x14ac:dyDescent="0.3">
      <c r="A621" s="17" t="s">
        <v>573</v>
      </c>
      <c r="B621" s="13" t="s">
        <v>574</v>
      </c>
      <c r="C621" s="13" t="s">
        <v>280</v>
      </c>
      <c r="D621" s="13">
        <v>1</v>
      </c>
      <c r="E621" s="13">
        <f>79185004.441*B2</f>
        <v>79185004.441</v>
      </c>
      <c r="F621" s="13">
        <f>D621*E621</f>
        <v>79185004.441</v>
      </c>
      <c r="G621" s="14">
        <f>F621/A1</f>
        <v>1.0152074073495846E-3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8"/>
      <c r="CP621" s="13"/>
      <c r="CQ621" s="18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9"/>
    </row>
    <row r="622" spans="1:117" x14ac:dyDescent="0.3">
      <c r="A622" s="12"/>
      <c r="B622" s="13"/>
      <c r="C622" s="13"/>
      <c r="D622" s="13"/>
      <c r="E622" s="13"/>
      <c r="F622" s="13"/>
      <c r="G622" s="1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20">
        <f>+$D621*CO620</f>
        <v>0.7</v>
      </c>
      <c r="CP622" s="13"/>
      <c r="CQ622" s="20">
        <f>+$D621*CQ620</f>
        <v>0.3</v>
      </c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21">
        <f>SUM(H622:DL622)</f>
        <v>1</v>
      </c>
    </row>
    <row r="623" spans="1:117" x14ac:dyDescent="0.3">
      <c r="A623" s="12"/>
      <c r="B623" s="13"/>
      <c r="C623" s="13"/>
      <c r="D623" s="13"/>
      <c r="E623" s="13"/>
      <c r="F623" s="13"/>
      <c r="G623" s="1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5">
        <v>1</v>
      </c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6">
        <f>SUM(H623:DL623)</f>
        <v>1</v>
      </c>
    </row>
    <row r="624" spans="1:117" x14ac:dyDescent="0.3">
      <c r="A624" s="17" t="s">
        <v>575</v>
      </c>
      <c r="B624" s="13" t="s">
        <v>576</v>
      </c>
      <c r="C624" s="13" t="s">
        <v>280</v>
      </c>
      <c r="D624" s="13">
        <v>1</v>
      </c>
      <c r="E624" s="13">
        <f>136287137.2003*B2</f>
        <v>136287137.20030001</v>
      </c>
      <c r="F624" s="13">
        <f>D624*E624</f>
        <v>136287137.20030001</v>
      </c>
      <c r="G624" s="14">
        <f>F624/A1</f>
        <v>1.7472968801220969E-3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8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9"/>
    </row>
    <row r="625" spans="1:117" x14ac:dyDescent="0.3">
      <c r="A625" s="12"/>
      <c r="B625" s="13"/>
      <c r="C625" s="13"/>
      <c r="D625" s="13"/>
      <c r="E625" s="13"/>
      <c r="F625" s="13"/>
      <c r="G625" s="1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20">
        <f>+$D624*CP623</f>
        <v>1</v>
      </c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21">
        <f>SUM(H625:DL625)</f>
        <v>1</v>
      </c>
    </row>
    <row r="626" spans="1:117" x14ac:dyDescent="0.3">
      <c r="A626" s="8" t="s">
        <v>577</v>
      </c>
      <c r="B626" s="9" t="s">
        <v>578</v>
      </c>
      <c r="C626" s="9"/>
      <c r="D626" s="9"/>
      <c r="E626" s="9"/>
      <c r="F626" s="9"/>
      <c r="G626" s="1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11"/>
    </row>
    <row r="627" spans="1:117" x14ac:dyDescent="0.3">
      <c r="A627" s="12"/>
      <c r="B627" s="13"/>
      <c r="C627" s="13"/>
      <c r="D627" s="13"/>
      <c r="E627" s="13"/>
      <c r="F627" s="13"/>
      <c r="G627" s="1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5">
        <v>1</v>
      </c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6">
        <f>SUM(H627:DL627)</f>
        <v>1</v>
      </c>
    </row>
    <row r="628" spans="1:117" x14ac:dyDescent="0.3">
      <c r="A628" s="17" t="s">
        <v>579</v>
      </c>
      <c r="B628" s="13" t="s">
        <v>580</v>
      </c>
      <c r="C628" s="13" t="s">
        <v>126</v>
      </c>
      <c r="D628" s="13">
        <v>4173.25</v>
      </c>
      <c r="E628" s="13">
        <f>12725.7916*B2</f>
        <v>12725.7916</v>
      </c>
      <c r="F628" s="13">
        <f>D628*E628</f>
        <v>53107909.794700004</v>
      </c>
      <c r="G628" s="14">
        <f>F628/A1</f>
        <v>6.8088072726705422E-4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8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9"/>
    </row>
    <row r="629" spans="1:117" x14ac:dyDescent="0.3">
      <c r="A629" s="12"/>
      <c r="B629" s="13"/>
      <c r="C629" s="13"/>
      <c r="D629" s="13"/>
      <c r="E629" s="13"/>
      <c r="F629" s="13"/>
      <c r="G629" s="1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20">
        <f>+$D628*BF627</f>
        <v>4173.25</v>
      </c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21">
        <f>SUM(H629:DL629)</f>
        <v>4173.25</v>
      </c>
    </row>
    <row r="630" spans="1:117" x14ac:dyDescent="0.3">
      <c r="A630" s="12"/>
      <c r="B630" s="13"/>
      <c r="C630" s="13"/>
      <c r="D630" s="13"/>
      <c r="E630" s="13"/>
      <c r="F630" s="13"/>
      <c r="G630" s="1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5">
        <v>1</v>
      </c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6">
        <f>SUM(H630:DL630)</f>
        <v>1</v>
      </c>
    </row>
    <row r="631" spans="1:117" x14ac:dyDescent="0.3">
      <c r="A631" s="17" t="s">
        <v>581</v>
      </c>
      <c r="B631" s="13" t="s">
        <v>582</v>
      </c>
      <c r="C631" s="13" t="s">
        <v>135</v>
      </c>
      <c r="D631" s="13">
        <v>11076.75</v>
      </c>
      <c r="E631" s="13">
        <f>18284.4427*B2</f>
        <v>18284.4427</v>
      </c>
      <c r="F631" s="13">
        <f>D631*E631</f>
        <v>202532200.67722499</v>
      </c>
      <c r="G631" s="14">
        <f>F631/A1</f>
        <v>2.5966051502533042E-3</v>
      </c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8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9"/>
    </row>
    <row r="632" spans="1:117" x14ac:dyDescent="0.3">
      <c r="A632" s="12"/>
      <c r="B632" s="13"/>
      <c r="C632" s="13"/>
      <c r="D632" s="13"/>
      <c r="E632" s="13"/>
      <c r="F632" s="13"/>
      <c r="G632" s="1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20">
        <f>+$D631*BF630</f>
        <v>11076.75</v>
      </c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21">
        <f>SUM(H632:DL632)</f>
        <v>11076.75</v>
      </c>
    </row>
    <row r="633" spans="1:117" x14ac:dyDescent="0.3">
      <c r="A633" s="12"/>
      <c r="B633" s="13"/>
      <c r="C633" s="13"/>
      <c r="D633" s="13"/>
      <c r="E633" s="13"/>
      <c r="F633" s="13"/>
      <c r="G633" s="1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5">
        <v>0.99762700000000004</v>
      </c>
      <c r="BG633" s="13"/>
      <c r="BH633" s="13"/>
      <c r="BI633" s="13"/>
      <c r="BJ633" s="13"/>
      <c r="BK633" s="15">
        <v>2.3730000000000001E-3</v>
      </c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6">
        <f>SUM(H633:DL633)</f>
        <v>1</v>
      </c>
    </row>
    <row r="634" spans="1:117" x14ac:dyDescent="0.3">
      <c r="A634" s="17" t="s">
        <v>583</v>
      </c>
      <c r="B634" s="13" t="s">
        <v>584</v>
      </c>
      <c r="C634" s="13" t="s">
        <v>135</v>
      </c>
      <c r="D634" s="13">
        <v>435.46</v>
      </c>
      <c r="E634" s="13">
        <f>217143.8571*B2</f>
        <v>217143.85709999999</v>
      </c>
      <c r="F634" s="13">
        <f>D634*E634</f>
        <v>94557464.012765989</v>
      </c>
      <c r="G634" s="14">
        <f>F634/A1</f>
        <v>1.2122931426679037E-3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8"/>
      <c r="BG634" s="13"/>
      <c r="BH634" s="13"/>
      <c r="BI634" s="13"/>
      <c r="BJ634" s="13"/>
      <c r="BK634" s="18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9"/>
    </row>
    <row r="635" spans="1:117" x14ac:dyDescent="0.3">
      <c r="A635" s="12"/>
      <c r="B635" s="13"/>
      <c r="C635" s="13"/>
      <c r="D635" s="13"/>
      <c r="E635" s="13"/>
      <c r="F635" s="13"/>
      <c r="G635" s="1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20">
        <f>+$D634*BF633</f>
        <v>434.42665341999998</v>
      </c>
      <c r="BG635" s="13"/>
      <c r="BH635" s="13"/>
      <c r="BI635" s="13"/>
      <c r="BJ635" s="13"/>
      <c r="BK635" s="20">
        <f>+$D634*BK633</f>
        <v>1.0333465799999999</v>
      </c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21">
        <f>SUM(H635:DL635)</f>
        <v>435.46</v>
      </c>
    </row>
    <row r="636" spans="1:117" x14ac:dyDescent="0.3">
      <c r="A636" s="12"/>
      <c r="B636" s="13"/>
      <c r="C636" s="13"/>
      <c r="D636" s="13"/>
      <c r="E636" s="13"/>
      <c r="F636" s="13"/>
      <c r="G636" s="1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5">
        <v>0.99760400000000005</v>
      </c>
      <c r="BG636" s="13"/>
      <c r="BH636" s="13"/>
      <c r="BI636" s="13"/>
      <c r="BJ636" s="13"/>
      <c r="BK636" s="15">
        <v>2.3960000000000001E-3</v>
      </c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6">
        <f>SUM(H636:DL636)</f>
        <v>1</v>
      </c>
    </row>
    <row r="637" spans="1:117" x14ac:dyDescent="0.3">
      <c r="A637" s="17" t="s">
        <v>585</v>
      </c>
      <c r="B637" s="13" t="s">
        <v>586</v>
      </c>
      <c r="C637" s="13" t="s">
        <v>126</v>
      </c>
      <c r="D637" s="13">
        <v>4173.5</v>
      </c>
      <c r="E637" s="13">
        <f>34836.1164*B2</f>
        <v>34836.116399999999</v>
      </c>
      <c r="F637" s="13">
        <f>D637*E637</f>
        <v>145388531.79539999</v>
      </c>
      <c r="G637" s="14">
        <f>F637/A1</f>
        <v>1.8639831551988569E-3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8"/>
      <c r="BG637" s="13"/>
      <c r="BH637" s="13"/>
      <c r="BI637" s="13"/>
      <c r="BJ637" s="13"/>
      <c r="BK637" s="18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9"/>
    </row>
    <row r="638" spans="1:117" x14ac:dyDescent="0.3">
      <c r="A638" s="12"/>
      <c r="B638" s="13"/>
      <c r="C638" s="13"/>
      <c r="D638" s="13"/>
      <c r="E638" s="13"/>
      <c r="F638" s="13"/>
      <c r="G638" s="1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20">
        <f>+$D637*BF636</f>
        <v>4163.5002940000004</v>
      </c>
      <c r="BG638" s="13"/>
      <c r="BH638" s="13"/>
      <c r="BI638" s="13"/>
      <c r="BJ638" s="13"/>
      <c r="BK638" s="20">
        <f>+$D637*BK636</f>
        <v>9.9997059999999998</v>
      </c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21">
        <f>SUM(H638:DL638)</f>
        <v>4173.5</v>
      </c>
    </row>
    <row r="639" spans="1:117" x14ac:dyDescent="0.3">
      <c r="A639" s="12"/>
      <c r="B639" s="13"/>
      <c r="C639" s="13"/>
      <c r="D639" s="13"/>
      <c r="E639" s="13"/>
      <c r="F639" s="13"/>
      <c r="G639" s="1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5">
        <v>0.99760400000000005</v>
      </c>
      <c r="BG639" s="13"/>
      <c r="BH639" s="13"/>
      <c r="BI639" s="13"/>
      <c r="BJ639" s="13"/>
      <c r="BK639" s="15">
        <v>2.3960000000000001E-3</v>
      </c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6">
        <f>SUM(H639:DL639)</f>
        <v>1</v>
      </c>
    </row>
    <row r="640" spans="1:117" x14ac:dyDescent="0.3">
      <c r="A640" s="17" t="s">
        <v>587</v>
      </c>
      <c r="B640" s="13" t="s">
        <v>588</v>
      </c>
      <c r="C640" s="13" t="s">
        <v>135</v>
      </c>
      <c r="D640" s="13">
        <v>3040.02</v>
      </c>
      <c r="E640" s="13">
        <f>59298.4734*B2</f>
        <v>59298.473400000003</v>
      </c>
      <c r="F640" s="13">
        <f>D640*E640</f>
        <v>180268545.105468</v>
      </c>
      <c r="G640" s="14">
        <f>F640/A1</f>
        <v>2.3111694391526215E-3</v>
      </c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8"/>
      <c r="BG640" s="13"/>
      <c r="BH640" s="13"/>
      <c r="BI640" s="13"/>
      <c r="BJ640" s="13"/>
      <c r="BK640" s="18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9"/>
    </row>
    <row r="641" spans="1:117" x14ac:dyDescent="0.3">
      <c r="A641" s="12"/>
      <c r="B641" s="13"/>
      <c r="C641" s="13"/>
      <c r="D641" s="13"/>
      <c r="E641" s="13"/>
      <c r="F641" s="13"/>
      <c r="G641" s="1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20">
        <f>+$D640*BF639</f>
        <v>3032.7361120800001</v>
      </c>
      <c r="BG641" s="13"/>
      <c r="BH641" s="13"/>
      <c r="BI641" s="13"/>
      <c r="BJ641" s="13"/>
      <c r="BK641" s="20">
        <f>+$D640*BK639</f>
        <v>7.2838879200000006</v>
      </c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21">
        <f>SUM(H641:DL641)</f>
        <v>3040.02</v>
      </c>
    </row>
    <row r="642" spans="1:117" x14ac:dyDescent="0.3">
      <c r="A642" s="12"/>
      <c r="B642" s="13"/>
      <c r="C642" s="13"/>
      <c r="D642" s="13"/>
      <c r="E642" s="13"/>
      <c r="F642" s="13"/>
      <c r="G642" s="1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5">
        <v>0.99783100000000002</v>
      </c>
      <c r="BG642" s="13"/>
      <c r="BH642" s="13"/>
      <c r="BI642" s="13"/>
      <c r="BJ642" s="13"/>
      <c r="BK642" s="15">
        <v>2.1689999999999999E-3</v>
      </c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6">
        <f>SUM(H642:DL642)</f>
        <v>1</v>
      </c>
    </row>
    <row r="643" spans="1:117" x14ac:dyDescent="0.3">
      <c r="A643" s="17" t="s">
        <v>589</v>
      </c>
      <c r="B643" s="13" t="s">
        <v>590</v>
      </c>
      <c r="C643" s="13" t="s">
        <v>135</v>
      </c>
      <c r="D643" s="13">
        <v>3409.4</v>
      </c>
      <c r="E643" s="13">
        <f>53028.2523*B2</f>
        <v>53028.2523</v>
      </c>
      <c r="F643" s="13">
        <f>D643*E643</f>
        <v>180794523.39162001</v>
      </c>
      <c r="G643" s="14">
        <f>F643/A1</f>
        <v>2.3179128504332816E-3</v>
      </c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8"/>
      <c r="BG643" s="13"/>
      <c r="BH643" s="13"/>
      <c r="BI643" s="13"/>
      <c r="BJ643" s="13"/>
      <c r="BK643" s="18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9"/>
    </row>
    <row r="644" spans="1:117" x14ac:dyDescent="0.3">
      <c r="A644" s="12"/>
      <c r="B644" s="13"/>
      <c r="C644" s="13"/>
      <c r="D644" s="13"/>
      <c r="E644" s="13"/>
      <c r="F644" s="13"/>
      <c r="G644" s="1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20">
        <f>+$D643*BF642</f>
        <v>3402.0050114000001</v>
      </c>
      <c r="BG644" s="13"/>
      <c r="BH644" s="13"/>
      <c r="BI644" s="13"/>
      <c r="BJ644" s="13"/>
      <c r="BK644" s="20">
        <f>+$D643*BK642</f>
        <v>7.3949885999999996</v>
      </c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21">
        <f>SUM(H644:DL644)</f>
        <v>3409.4</v>
      </c>
    </row>
    <row r="645" spans="1:117" x14ac:dyDescent="0.3">
      <c r="A645" s="12"/>
      <c r="B645" s="13"/>
      <c r="C645" s="13"/>
      <c r="D645" s="13"/>
      <c r="E645" s="13"/>
      <c r="F645" s="13"/>
      <c r="G645" s="1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5">
        <v>0.99763299999999999</v>
      </c>
      <c r="BG645" s="13"/>
      <c r="BH645" s="13"/>
      <c r="BI645" s="13"/>
      <c r="BJ645" s="13"/>
      <c r="BK645" s="15">
        <v>2.366E-3</v>
      </c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6">
        <f>SUM(H645:DL645)</f>
        <v>0.99999899999999997</v>
      </c>
    </row>
    <row r="646" spans="1:117" x14ac:dyDescent="0.3">
      <c r="A646" s="17" t="s">
        <v>591</v>
      </c>
      <c r="B646" s="13" t="s">
        <v>592</v>
      </c>
      <c r="C646" s="13" t="s">
        <v>274</v>
      </c>
      <c r="D646" s="13">
        <v>8845.52</v>
      </c>
      <c r="E646" s="13">
        <f>14730.2918*B2</f>
        <v>14730.291800000001</v>
      </c>
      <c r="F646" s="13">
        <f>D646*E646</f>
        <v>130297090.72273602</v>
      </c>
      <c r="G646" s="14">
        <f>F646/A1</f>
        <v>1.6705002745359692E-3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8"/>
      <c r="BG646" s="13"/>
      <c r="BH646" s="13"/>
      <c r="BI646" s="13"/>
      <c r="BJ646" s="13"/>
      <c r="BK646" s="18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9"/>
    </row>
    <row r="647" spans="1:117" x14ac:dyDescent="0.3">
      <c r="A647" s="12"/>
      <c r="B647" s="13"/>
      <c r="C647" s="13"/>
      <c r="D647" s="13"/>
      <c r="E647" s="13"/>
      <c r="F647" s="13"/>
      <c r="G647" s="1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20">
        <f>+$D646*BF645</f>
        <v>8824.5826541599999</v>
      </c>
      <c r="BG647" s="13"/>
      <c r="BH647" s="13"/>
      <c r="BI647" s="13"/>
      <c r="BJ647" s="13"/>
      <c r="BK647" s="20">
        <f>+$D646*BK645</f>
        <v>20.928500320000001</v>
      </c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21">
        <f>SUM(H647:DL647)</f>
        <v>8845.5111544800002</v>
      </c>
    </row>
    <row r="648" spans="1:117" x14ac:dyDescent="0.3">
      <c r="A648" s="12"/>
      <c r="B648" s="13"/>
      <c r="C648" s="13"/>
      <c r="D648" s="13"/>
      <c r="E648" s="13"/>
      <c r="F648" s="13"/>
      <c r="G648" s="1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6">
        <f>SUM(H648:DL648)</f>
        <v>0</v>
      </c>
    </row>
    <row r="649" spans="1:117" x14ac:dyDescent="0.3">
      <c r="A649" s="17" t="s">
        <v>593</v>
      </c>
      <c r="B649" s="13" t="s">
        <v>594</v>
      </c>
      <c r="C649" s="13" t="s">
        <v>280</v>
      </c>
      <c r="D649" s="13">
        <v>0</v>
      </c>
      <c r="E649" s="13">
        <f>2962817.0855*B2</f>
        <v>2962817.0855</v>
      </c>
      <c r="F649" s="13">
        <f>D649*E649</f>
        <v>0</v>
      </c>
      <c r="G649" s="14">
        <f>F649/A1</f>
        <v>0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9"/>
    </row>
    <row r="650" spans="1:117" x14ac:dyDescent="0.3">
      <c r="A650" s="12"/>
      <c r="B650" s="13"/>
      <c r="C650" s="13"/>
      <c r="D650" s="13"/>
      <c r="E650" s="13"/>
      <c r="F650" s="13"/>
      <c r="G650" s="1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21">
        <f>SUM(H650:DL650)</f>
        <v>0</v>
      </c>
    </row>
    <row r="651" spans="1:117" x14ac:dyDescent="0.3">
      <c r="A651" s="12"/>
      <c r="B651" s="13"/>
      <c r="C651" s="13"/>
      <c r="D651" s="13"/>
      <c r="E651" s="13"/>
      <c r="F651" s="13"/>
      <c r="G651" s="1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6">
        <f>SUM(H651:DL651)</f>
        <v>0</v>
      </c>
    </row>
    <row r="652" spans="1:117" x14ac:dyDescent="0.3">
      <c r="A652" s="17" t="s">
        <v>595</v>
      </c>
      <c r="B652" s="13" t="s">
        <v>596</v>
      </c>
      <c r="C652" s="13" t="s">
        <v>280</v>
      </c>
      <c r="D652" s="13">
        <v>0</v>
      </c>
      <c r="E652" s="13">
        <f>2746295.1004*B2</f>
        <v>2746295.1003999999</v>
      </c>
      <c r="F652" s="13">
        <f>D652*E652</f>
        <v>0</v>
      </c>
      <c r="G652" s="14">
        <f>F652/A1</f>
        <v>0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9"/>
    </row>
    <row r="653" spans="1:117" x14ac:dyDescent="0.3">
      <c r="A653" s="12"/>
      <c r="B653" s="13"/>
      <c r="C653" s="13"/>
      <c r="D653" s="13"/>
      <c r="E653" s="13"/>
      <c r="F653" s="13"/>
      <c r="G653" s="1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21">
        <f>SUM(H653:DL653)</f>
        <v>0</v>
      </c>
    </row>
    <row r="654" spans="1:117" x14ac:dyDescent="0.3">
      <c r="A654" s="12"/>
      <c r="B654" s="13"/>
      <c r="C654" s="13"/>
      <c r="D654" s="13"/>
      <c r="E654" s="13"/>
      <c r="F654" s="13"/>
      <c r="G654" s="1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5">
        <v>0.99760400000000005</v>
      </c>
      <c r="BG654" s="13"/>
      <c r="BH654" s="13"/>
      <c r="BI654" s="13"/>
      <c r="BJ654" s="13"/>
      <c r="BK654" s="15">
        <v>2.3960000000000001E-3</v>
      </c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6">
        <f>SUM(H654:DL654)</f>
        <v>1</v>
      </c>
    </row>
    <row r="655" spans="1:117" x14ac:dyDescent="0.3">
      <c r="A655" s="17" t="s">
        <v>597</v>
      </c>
      <c r="B655" s="13" t="s">
        <v>598</v>
      </c>
      <c r="C655" s="13" t="s">
        <v>126</v>
      </c>
      <c r="D655" s="13">
        <v>4173.5</v>
      </c>
      <c r="E655" s="13">
        <f>17504.2664*B2</f>
        <v>17504.2664</v>
      </c>
      <c r="F655" s="13">
        <f>D655*E655</f>
        <v>73054055.8204</v>
      </c>
      <c r="G655" s="14">
        <f>F655/A1</f>
        <v>9.3660433726514176E-4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8"/>
      <c r="BG655" s="13"/>
      <c r="BH655" s="13"/>
      <c r="BI655" s="13"/>
      <c r="BJ655" s="13"/>
      <c r="BK655" s="18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9"/>
    </row>
    <row r="656" spans="1:117" x14ac:dyDescent="0.3">
      <c r="A656" s="12"/>
      <c r="B656" s="13"/>
      <c r="C656" s="13"/>
      <c r="D656" s="13"/>
      <c r="E656" s="13"/>
      <c r="F656" s="13"/>
      <c r="G656" s="1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20">
        <f>+$D655*BF654</f>
        <v>4163.5002940000004</v>
      </c>
      <c r="BG656" s="13"/>
      <c r="BH656" s="13"/>
      <c r="BI656" s="13"/>
      <c r="BJ656" s="13"/>
      <c r="BK656" s="20">
        <f>+$D655*BK654</f>
        <v>9.9997059999999998</v>
      </c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21">
        <f>SUM(H656:DL656)</f>
        <v>4173.5</v>
      </c>
    </row>
    <row r="657" spans="1:117" x14ac:dyDescent="0.3">
      <c r="A657" s="8" t="s">
        <v>599</v>
      </c>
      <c r="B657" s="9" t="s">
        <v>600</v>
      </c>
      <c r="C657" s="9"/>
      <c r="D657" s="9"/>
      <c r="E657" s="9"/>
      <c r="F657" s="9"/>
      <c r="G657" s="1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11"/>
    </row>
    <row r="658" spans="1:117" x14ac:dyDescent="0.3">
      <c r="A658" s="12"/>
      <c r="B658" s="13"/>
      <c r="C658" s="13"/>
      <c r="D658" s="13"/>
      <c r="E658" s="13"/>
      <c r="F658" s="13"/>
      <c r="G658" s="1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5">
        <v>1</v>
      </c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6">
        <f>SUM(H658:DL658)</f>
        <v>1</v>
      </c>
    </row>
    <row r="659" spans="1:117" x14ac:dyDescent="0.3">
      <c r="A659" s="17" t="s">
        <v>601</v>
      </c>
      <c r="B659" s="13" t="s">
        <v>602</v>
      </c>
      <c r="C659" s="13" t="s">
        <v>126</v>
      </c>
      <c r="D659" s="13">
        <v>7</v>
      </c>
      <c r="E659" s="13">
        <f>7559.668*B2</f>
        <v>7559.6679999999997</v>
      </c>
      <c r="F659" s="13">
        <f>D659*E659</f>
        <v>52917.675999999999</v>
      </c>
      <c r="G659" s="14">
        <f>F659/A1</f>
        <v>6.7844179632462361E-7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8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9"/>
    </row>
    <row r="660" spans="1:117" x14ac:dyDescent="0.3">
      <c r="A660" s="12"/>
      <c r="B660" s="13"/>
      <c r="C660" s="13"/>
      <c r="D660" s="13"/>
      <c r="E660" s="13"/>
      <c r="F660" s="13"/>
      <c r="G660" s="1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20">
        <f>+$D659*BF658</f>
        <v>7</v>
      </c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21">
        <f>SUM(H660:DL660)</f>
        <v>7</v>
      </c>
    </row>
    <row r="661" spans="1:117" x14ac:dyDescent="0.3">
      <c r="A661" s="12"/>
      <c r="B661" s="13"/>
      <c r="C661" s="13"/>
      <c r="D661" s="13"/>
      <c r="E661" s="13"/>
      <c r="F661" s="13"/>
      <c r="G661" s="1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5">
        <v>1</v>
      </c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6">
        <f>SUM(H661:DL661)</f>
        <v>1</v>
      </c>
    </row>
    <row r="662" spans="1:117" x14ac:dyDescent="0.3">
      <c r="A662" s="17" t="s">
        <v>603</v>
      </c>
      <c r="B662" s="13" t="s">
        <v>604</v>
      </c>
      <c r="C662" s="13" t="s">
        <v>126</v>
      </c>
      <c r="D662" s="13">
        <v>31.67</v>
      </c>
      <c r="E662" s="13">
        <f>3667.1953*B2</f>
        <v>3667.1952999999999</v>
      </c>
      <c r="F662" s="13">
        <f>D662*E662</f>
        <v>116140.075151</v>
      </c>
      <c r="G662" s="14">
        <f>F662/A1</f>
        <v>1.4889973854997187E-6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8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9"/>
    </row>
    <row r="663" spans="1:117" x14ac:dyDescent="0.3">
      <c r="A663" s="12"/>
      <c r="B663" s="13"/>
      <c r="C663" s="13"/>
      <c r="D663" s="13"/>
      <c r="E663" s="13"/>
      <c r="F663" s="13"/>
      <c r="G663" s="1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20">
        <f>+$D662*BF661</f>
        <v>31.67</v>
      </c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21">
        <f>SUM(H663:DL663)</f>
        <v>31.67</v>
      </c>
    </row>
    <row r="664" spans="1:117" x14ac:dyDescent="0.3">
      <c r="A664" s="12"/>
      <c r="B664" s="13"/>
      <c r="C664" s="13"/>
      <c r="D664" s="13"/>
      <c r="E664" s="13"/>
      <c r="F664" s="13"/>
      <c r="G664" s="1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5">
        <v>1</v>
      </c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6">
        <f>SUM(H664:DL664)</f>
        <v>1</v>
      </c>
    </row>
    <row r="665" spans="1:117" x14ac:dyDescent="0.3">
      <c r="A665" s="17" t="s">
        <v>605</v>
      </c>
      <c r="B665" s="13" t="s">
        <v>606</v>
      </c>
      <c r="C665" s="13" t="s">
        <v>274</v>
      </c>
      <c r="D665" s="13">
        <v>13.65</v>
      </c>
      <c r="E665" s="13">
        <f>28175*B2</f>
        <v>28175</v>
      </c>
      <c r="F665" s="13">
        <f>D665*E665</f>
        <v>384588.75</v>
      </c>
      <c r="G665" s="14">
        <f>F665/A1</f>
        <v>4.9306980600629848E-6</v>
      </c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8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9"/>
    </row>
    <row r="666" spans="1:117" x14ac:dyDescent="0.3">
      <c r="A666" s="12"/>
      <c r="B666" s="13"/>
      <c r="C666" s="13"/>
      <c r="D666" s="13"/>
      <c r="E666" s="13"/>
      <c r="F666" s="13"/>
      <c r="G666" s="1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20">
        <f>+$D665*BF664</f>
        <v>13.65</v>
      </c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21">
        <f>SUM(H666:DL666)</f>
        <v>13.65</v>
      </c>
    </row>
    <row r="667" spans="1:117" x14ac:dyDescent="0.3">
      <c r="A667" s="12"/>
      <c r="B667" s="13"/>
      <c r="C667" s="13"/>
      <c r="D667" s="13"/>
      <c r="E667" s="13"/>
      <c r="F667" s="13"/>
      <c r="G667" s="1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5">
        <v>0.997305</v>
      </c>
      <c r="BG667" s="13"/>
      <c r="BH667" s="13"/>
      <c r="BI667" s="13"/>
      <c r="BJ667" s="13"/>
      <c r="BK667" s="15">
        <v>2.6949999999999999E-3</v>
      </c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6">
        <f>SUM(H667:DL667)</f>
        <v>1</v>
      </c>
    </row>
    <row r="668" spans="1:117" x14ac:dyDescent="0.3">
      <c r="A668" s="17" t="s">
        <v>607</v>
      </c>
      <c r="B668" s="13" t="s">
        <v>608</v>
      </c>
      <c r="C668" s="13" t="s">
        <v>126</v>
      </c>
      <c r="D668" s="13">
        <v>3710</v>
      </c>
      <c r="E668" s="13">
        <f>9639.4121*B2</f>
        <v>9639.4120999999996</v>
      </c>
      <c r="F668" s="13">
        <f>D668*E668</f>
        <v>35762218.890999995</v>
      </c>
      <c r="G668" s="14">
        <f>F668/A1</f>
        <v>4.5849677950642471E-4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8"/>
      <c r="BG668" s="13"/>
      <c r="BH668" s="13"/>
      <c r="BI668" s="13"/>
      <c r="BJ668" s="13"/>
      <c r="BK668" s="18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9"/>
    </row>
    <row r="669" spans="1:117" x14ac:dyDescent="0.3">
      <c r="A669" s="12"/>
      <c r="B669" s="13"/>
      <c r="C669" s="13"/>
      <c r="D669" s="13"/>
      <c r="E669" s="13"/>
      <c r="F669" s="13"/>
      <c r="G669" s="1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20">
        <f>+$D668*BF667</f>
        <v>3700.00155</v>
      </c>
      <c r="BG669" s="13"/>
      <c r="BH669" s="13"/>
      <c r="BI669" s="13"/>
      <c r="BJ669" s="13"/>
      <c r="BK669" s="20">
        <f>+$D668*BK667</f>
        <v>9.9984500000000001</v>
      </c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21">
        <f>SUM(H669:DL669)</f>
        <v>3710</v>
      </c>
    </row>
    <row r="670" spans="1:117" x14ac:dyDescent="0.3">
      <c r="A670" s="12"/>
      <c r="B670" s="13"/>
      <c r="C670" s="13"/>
      <c r="D670" s="13"/>
      <c r="E670" s="13"/>
      <c r="F670" s="13"/>
      <c r="G670" s="1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5">
        <v>0.69</v>
      </c>
      <c r="BH670" s="13"/>
      <c r="BI670" s="13"/>
      <c r="BJ670" s="13"/>
      <c r="BK670" s="15">
        <v>0.31</v>
      </c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6">
        <f>SUM(H670:DL670)</f>
        <v>1</v>
      </c>
    </row>
    <row r="671" spans="1:117" x14ac:dyDescent="0.3">
      <c r="A671" s="17" t="s">
        <v>609</v>
      </c>
      <c r="B671" s="13" t="s">
        <v>610</v>
      </c>
      <c r="C671" s="13" t="s">
        <v>280</v>
      </c>
      <c r="D671" s="13">
        <v>4</v>
      </c>
      <c r="E671" s="13">
        <f>7145796.4002*B2</f>
        <v>7145796.4002</v>
      </c>
      <c r="F671" s="13">
        <f>D671*E671</f>
        <v>28583185.6008</v>
      </c>
      <c r="G671" s="14">
        <f>F671/A1</f>
        <v>3.6645652737446119E-4</v>
      </c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8"/>
      <c r="BH671" s="13"/>
      <c r="BI671" s="13"/>
      <c r="BJ671" s="13"/>
      <c r="BK671" s="18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9"/>
    </row>
    <row r="672" spans="1:117" x14ac:dyDescent="0.3">
      <c r="A672" s="12"/>
      <c r="B672" s="13"/>
      <c r="C672" s="13"/>
      <c r="D672" s="13"/>
      <c r="E672" s="13"/>
      <c r="F672" s="13"/>
      <c r="G672" s="1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20">
        <f>+$D671*BG670</f>
        <v>2.76</v>
      </c>
      <c r="BH672" s="13"/>
      <c r="BI672" s="13"/>
      <c r="BJ672" s="13"/>
      <c r="BK672" s="20">
        <f>+$D671*BK670</f>
        <v>1.24</v>
      </c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21">
        <f>SUM(H672:DL672)</f>
        <v>4</v>
      </c>
    </row>
    <row r="673" spans="1:117" x14ac:dyDescent="0.3">
      <c r="A673" s="12"/>
      <c r="B673" s="13"/>
      <c r="C673" s="13"/>
      <c r="D673" s="13"/>
      <c r="E673" s="13"/>
      <c r="F673" s="13"/>
      <c r="G673" s="1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5">
        <v>0.69</v>
      </c>
      <c r="BG673" s="13"/>
      <c r="BH673" s="13"/>
      <c r="BI673" s="13"/>
      <c r="BJ673" s="15">
        <v>0.31</v>
      </c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6">
        <f>SUM(H673:DL673)</f>
        <v>1</v>
      </c>
    </row>
    <row r="674" spans="1:117" x14ac:dyDescent="0.3">
      <c r="A674" s="17" t="s">
        <v>611</v>
      </c>
      <c r="B674" s="13" t="s">
        <v>612</v>
      </c>
      <c r="C674" s="13" t="s">
        <v>280</v>
      </c>
      <c r="D674" s="13">
        <v>4</v>
      </c>
      <c r="E674" s="13">
        <f>3492149.5051*B2</f>
        <v>3492149.5051000002</v>
      </c>
      <c r="F674" s="13">
        <f>D674*E674</f>
        <v>13968598.020400001</v>
      </c>
      <c r="G674" s="14">
        <f>F674/A1</f>
        <v>1.7908724361018343E-4</v>
      </c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8"/>
      <c r="BG674" s="13"/>
      <c r="BH674" s="13"/>
      <c r="BI674" s="13"/>
      <c r="BJ674" s="18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9"/>
    </row>
    <row r="675" spans="1:117" x14ac:dyDescent="0.3">
      <c r="A675" s="12"/>
      <c r="B675" s="13"/>
      <c r="C675" s="13"/>
      <c r="D675" s="13"/>
      <c r="E675" s="13"/>
      <c r="F675" s="13"/>
      <c r="G675" s="1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20">
        <f>+$D674*BF673</f>
        <v>2.76</v>
      </c>
      <c r="BG675" s="13"/>
      <c r="BH675" s="13"/>
      <c r="BI675" s="13"/>
      <c r="BJ675" s="20">
        <f>+$D674*BJ673</f>
        <v>1.24</v>
      </c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21">
        <f>SUM(H675:DL675)</f>
        <v>4</v>
      </c>
    </row>
    <row r="676" spans="1:117" x14ac:dyDescent="0.3">
      <c r="A676" s="12"/>
      <c r="B676" s="13"/>
      <c r="C676" s="13"/>
      <c r="D676" s="13"/>
      <c r="E676" s="13"/>
      <c r="F676" s="13"/>
      <c r="G676" s="1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5">
        <v>1</v>
      </c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6">
        <f>SUM(H676:DL676)</f>
        <v>1</v>
      </c>
    </row>
    <row r="677" spans="1:117" x14ac:dyDescent="0.3">
      <c r="A677" s="17" t="s">
        <v>613</v>
      </c>
      <c r="B677" s="13" t="s">
        <v>614</v>
      </c>
      <c r="C677" s="13" t="s">
        <v>280</v>
      </c>
      <c r="D677" s="13">
        <v>1</v>
      </c>
      <c r="E677" s="13">
        <f>37442615.0961*B2</f>
        <v>37442615.096100003</v>
      </c>
      <c r="F677" s="13">
        <f>D677*E677</f>
        <v>37442615.096100003</v>
      </c>
      <c r="G677" s="14">
        <f>F677/A1</f>
        <v>4.8004063982117341E-4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8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9"/>
    </row>
    <row r="678" spans="1:117" x14ac:dyDescent="0.3">
      <c r="A678" s="12"/>
      <c r="B678" s="13"/>
      <c r="C678" s="13"/>
      <c r="D678" s="13"/>
      <c r="E678" s="13"/>
      <c r="F678" s="13"/>
      <c r="G678" s="1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20">
        <f>+$D677*BF676</f>
        <v>1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21">
        <f>SUM(H678:DL678)</f>
        <v>1</v>
      </c>
    </row>
    <row r="679" spans="1:117" x14ac:dyDescent="0.3">
      <c r="A679" s="12"/>
      <c r="B679" s="13"/>
      <c r="C679" s="13"/>
      <c r="D679" s="13"/>
      <c r="E679" s="13"/>
      <c r="F679" s="13"/>
      <c r="G679" s="1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5">
        <v>1</v>
      </c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6">
        <f>SUM(H679:DL679)</f>
        <v>1</v>
      </c>
    </row>
    <row r="680" spans="1:117" x14ac:dyDescent="0.3">
      <c r="A680" s="17" t="s">
        <v>615</v>
      </c>
      <c r="B680" s="13" t="s">
        <v>616</v>
      </c>
      <c r="C680" s="13" t="s">
        <v>617</v>
      </c>
      <c r="D680" s="13">
        <v>8</v>
      </c>
      <c r="E680" s="13">
        <f>1459524.2165*B2</f>
        <v>1459524.2165000001</v>
      </c>
      <c r="F680" s="13">
        <f>D680*E680</f>
        <v>11676193.732000001</v>
      </c>
      <c r="G680" s="14">
        <f>F680/A1</f>
        <v>1.4969700955447081E-4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8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9"/>
    </row>
    <row r="681" spans="1:117" x14ac:dyDescent="0.3">
      <c r="A681" s="12"/>
      <c r="B681" s="13"/>
      <c r="C681" s="13"/>
      <c r="D681" s="13"/>
      <c r="E681" s="13"/>
      <c r="F681" s="13"/>
      <c r="G681" s="1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20">
        <f>+$D680*BK679</f>
        <v>8</v>
      </c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21">
        <f>SUM(H681:DL681)</f>
        <v>8</v>
      </c>
    </row>
    <row r="682" spans="1:117" x14ac:dyDescent="0.3">
      <c r="A682" s="8" t="s">
        <v>618</v>
      </c>
      <c r="B682" s="9" t="s">
        <v>619</v>
      </c>
      <c r="C682" s="9"/>
      <c r="D682" s="9"/>
      <c r="E682" s="9"/>
      <c r="F682" s="9"/>
      <c r="G682" s="1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11"/>
    </row>
    <row r="683" spans="1:117" x14ac:dyDescent="0.3">
      <c r="A683" s="8" t="s">
        <v>620</v>
      </c>
      <c r="B683" s="9" t="s">
        <v>621</v>
      </c>
      <c r="C683" s="9"/>
      <c r="D683" s="9"/>
      <c r="E683" s="9"/>
      <c r="F683" s="9"/>
      <c r="G683" s="1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11"/>
    </row>
    <row r="684" spans="1:117" x14ac:dyDescent="0.3">
      <c r="A684" s="12"/>
      <c r="B684" s="13"/>
      <c r="C684" s="13"/>
      <c r="D684" s="13"/>
      <c r="E684" s="13"/>
      <c r="F684" s="13"/>
      <c r="G684" s="1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6">
        <f>SUM(H684:DL684)</f>
        <v>0</v>
      </c>
    </row>
    <row r="685" spans="1:117" x14ac:dyDescent="0.3">
      <c r="A685" s="17" t="s">
        <v>622</v>
      </c>
      <c r="B685" s="13" t="s">
        <v>623</v>
      </c>
      <c r="C685" s="13" t="s">
        <v>135</v>
      </c>
      <c r="D685" s="13">
        <v>0</v>
      </c>
      <c r="E685" s="13">
        <f>51304.5534*B2</f>
        <v>51304.553399999997</v>
      </c>
      <c r="F685" s="13">
        <f>D685*E685</f>
        <v>0</v>
      </c>
      <c r="G685" s="14">
        <f>F685/A1</f>
        <v>0</v>
      </c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9"/>
    </row>
    <row r="686" spans="1:117" x14ac:dyDescent="0.3">
      <c r="A686" s="12"/>
      <c r="B686" s="13"/>
      <c r="C686" s="13"/>
      <c r="D686" s="13"/>
      <c r="E686" s="13"/>
      <c r="F686" s="13"/>
      <c r="G686" s="1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21">
        <f>SUM(H686:DL686)</f>
        <v>0</v>
      </c>
    </row>
    <row r="687" spans="1:117" x14ac:dyDescent="0.3">
      <c r="A687" s="12"/>
      <c r="B687" s="13"/>
      <c r="C687" s="13"/>
      <c r="D687" s="13"/>
      <c r="E687" s="13"/>
      <c r="F687" s="13"/>
      <c r="G687" s="1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5">
        <v>1</v>
      </c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6">
        <f>SUM(H687:DL687)</f>
        <v>1</v>
      </c>
    </row>
    <row r="688" spans="1:117" x14ac:dyDescent="0.3">
      <c r="A688" s="17" t="s">
        <v>624</v>
      </c>
      <c r="B688" s="13" t="s">
        <v>625</v>
      </c>
      <c r="C688" s="13" t="s">
        <v>135</v>
      </c>
      <c r="D688" s="13">
        <v>6.25</v>
      </c>
      <c r="E688" s="13">
        <f>409421.684*B2</f>
        <v>409421.68400000001</v>
      </c>
      <c r="F688" s="13">
        <f>D688*E688</f>
        <v>2558885.5249999999</v>
      </c>
      <c r="G688" s="14">
        <f>F688/A1</f>
        <v>3.2806710789228112E-5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8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9"/>
    </row>
    <row r="689" spans="1:117" x14ac:dyDescent="0.3">
      <c r="A689" s="12"/>
      <c r="B689" s="13"/>
      <c r="C689" s="13"/>
      <c r="D689" s="13"/>
      <c r="E689" s="13"/>
      <c r="F689" s="13"/>
      <c r="G689" s="1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20">
        <f>+$D688*CQ687</f>
        <v>6.25</v>
      </c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21">
        <f>SUM(H689:DL689)</f>
        <v>6.25</v>
      </c>
    </row>
    <row r="690" spans="1:117" x14ac:dyDescent="0.3">
      <c r="A690" s="12"/>
      <c r="B690" s="13"/>
      <c r="C690" s="13"/>
      <c r="D690" s="13"/>
      <c r="E690" s="13"/>
      <c r="F690" s="13"/>
      <c r="G690" s="1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6">
        <f>SUM(H690:DL690)</f>
        <v>0</v>
      </c>
    </row>
    <row r="691" spans="1:117" x14ac:dyDescent="0.3">
      <c r="A691" s="17" t="s">
        <v>626</v>
      </c>
      <c r="B691" s="13" t="s">
        <v>627</v>
      </c>
      <c r="C691" s="13" t="s">
        <v>135</v>
      </c>
      <c r="D691" s="13">
        <v>0</v>
      </c>
      <c r="E691" s="13">
        <f>876942.4602*B2</f>
        <v>876942.46019999997</v>
      </c>
      <c r="F691" s="13">
        <f>D691*E691</f>
        <v>0</v>
      </c>
      <c r="G691" s="14">
        <f>F691/A1</f>
        <v>0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9"/>
    </row>
    <row r="692" spans="1:117" x14ac:dyDescent="0.3">
      <c r="A692" s="12"/>
      <c r="B692" s="13"/>
      <c r="C692" s="13"/>
      <c r="D692" s="13"/>
      <c r="E692" s="13"/>
      <c r="F692" s="13"/>
      <c r="G692" s="1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21">
        <f>SUM(H692:DL692)</f>
        <v>0</v>
      </c>
    </row>
    <row r="693" spans="1:117" x14ac:dyDescent="0.3">
      <c r="A693" s="12"/>
      <c r="B693" s="13"/>
      <c r="C693" s="13"/>
      <c r="D693" s="13"/>
      <c r="E693" s="13"/>
      <c r="F693" s="13"/>
      <c r="G693" s="1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5">
        <v>1</v>
      </c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6">
        <f>SUM(H693:DL693)</f>
        <v>1</v>
      </c>
    </row>
    <row r="694" spans="1:117" x14ac:dyDescent="0.3">
      <c r="A694" s="17" t="s">
        <v>628</v>
      </c>
      <c r="B694" s="13" t="s">
        <v>629</v>
      </c>
      <c r="C694" s="13" t="s">
        <v>277</v>
      </c>
      <c r="D694" s="13">
        <v>333.05</v>
      </c>
      <c r="E694" s="13">
        <f>24796.3473*B2</f>
        <v>24796.347300000001</v>
      </c>
      <c r="F694" s="13">
        <f>D694*E694</f>
        <v>8258423.4682650007</v>
      </c>
      <c r="G694" s="14">
        <f>F694/A1</f>
        <v>1.058787927991988E-4</v>
      </c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8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9"/>
    </row>
    <row r="695" spans="1:117" x14ac:dyDescent="0.3">
      <c r="A695" s="12"/>
      <c r="B695" s="13"/>
      <c r="C695" s="13"/>
      <c r="D695" s="13"/>
      <c r="E695" s="13"/>
      <c r="F695" s="13"/>
      <c r="G695" s="1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20">
        <f>+$D694*CT693</f>
        <v>333.05</v>
      </c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21">
        <f>SUM(H695:DL695)</f>
        <v>333.05</v>
      </c>
    </row>
    <row r="696" spans="1:117" x14ac:dyDescent="0.3">
      <c r="A696" s="12"/>
      <c r="B696" s="13"/>
      <c r="C696" s="13"/>
      <c r="D696" s="13"/>
      <c r="E696" s="13"/>
      <c r="F696" s="13"/>
      <c r="G696" s="1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5">
        <v>1</v>
      </c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6">
        <f>SUM(H696:DL696)</f>
        <v>1</v>
      </c>
    </row>
    <row r="697" spans="1:117" x14ac:dyDescent="0.3">
      <c r="A697" s="17" t="s">
        <v>630</v>
      </c>
      <c r="B697" s="13" t="s">
        <v>631</v>
      </c>
      <c r="C697" s="13" t="s">
        <v>277</v>
      </c>
      <c r="D697" s="13">
        <v>53.6</v>
      </c>
      <c r="E697" s="13">
        <f>48087.841*B2</f>
        <v>48087.841</v>
      </c>
      <c r="F697" s="13">
        <f>D697*E697</f>
        <v>2577508.2776000001</v>
      </c>
      <c r="G697" s="14">
        <f>F697/A1</f>
        <v>3.3045467565441286E-5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8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9"/>
    </row>
    <row r="698" spans="1:117" x14ac:dyDescent="0.3">
      <c r="A698" s="12"/>
      <c r="B698" s="13"/>
      <c r="C698" s="13"/>
      <c r="D698" s="13"/>
      <c r="E698" s="13"/>
      <c r="F698" s="13"/>
      <c r="G698" s="1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20">
        <f>+$D697*CT696</f>
        <v>53.6</v>
      </c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21">
        <f>SUM(H698:DL698)</f>
        <v>53.6</v>
      </c>
    </row>
    <row r="699" spans="1:117" x14ac:dyDescent="0.3">
      <c r="A699" s="12"/>
      <c r="B699" s="13"/>
      <c r="C699" s="13"/>
      <c r="D699" s="13"/>
      <c r="E699" s="13"/>
      <c r="F699" s="13"/>
      <c r="G699" s="1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6">
        <f>SUM(H699:DL699)</f>
        <v>0</v>
      </c>
    </row>
    <row r="700" spans="1:117" x14ac:dyDescent="0.3">
      <c r="A700" s="17" t="s">
        <v>632</v>
      </c>
      <c r="B700" s="13" t="s">
        <v>633</v>
      </c>
      <c r="C700" s="13" t="s">
        <v>280</v>
      </c>
      <c r="D700" s="13">
        <v>0</v>
      </c>
      <c r="E700" s="13">
        <f>8676409.0492*B2</f>
        <v>8676409.0492000002</v>
      </c>
      <c r="F700" s="13">
        <f>D700*E700</f>
        <v>0</v>
      </c>
      <c r="G700" s="14">
        <f>F700/A1</f>
        <v>0</v>
      </c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9"/>
    </row>
    <row r="701" spans="1:117" x14ac:dyDescent="0.3">
      <c r="A701" s="12"/>
      <c r="B701" s="13"/>
      <c r="C701" s="13"/>
      <c r="D701" s="13"/>
      <c r="E701" s="13"/>
      <c r="F701" s="13"/>
      <c r="G701" s="1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21">
        <f>SUM(H701:DL701)</f>
        <v>0</v>
      </c>
    </row>
    <row r="702" spans="1:117" x14ac:dyDescent="0.3">
      <c r="A702" s="12"/>
      <c r="B702" s="13"/>
      <c r="C702" s="13"/>
      <c r="D702" s="13"/>
      <c r="E702" s="13"/>
      <c r="F702" s="13"/>
      <c r="G702" s="1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6">
        <f>SUM(H702:DL702)</f>
        <v>0</v>
      </c>
    </row>
    <row r="703" spans="1:117" x14ac:dyDescent="0.3">
      <c r="A703" s="17" t="s">
        <v>634</v>
      </c>
      <c r="B703" s="13" t="s">
        <v>635</v>
      </c>
      <c r="C703" s="13" t="s">
        <v>280</v>
      </c>
      <c r="D703" s="13">
        <v>0</v>
      </c>
      <c r="E703" s="13">
        <f>21599228.981*B2</f>
        <v>21599228.980999999</v>
      </c>
      <c r="F703" s="13">
        <f>D703*E703</f>
        <v>0</v>
      </c>
      <c r="G703" s="14">
        <f>F703/A1</f>
        <v>0</v>
      </c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9"/>
    </row>
    <row r="704" spans="1:117" x14ac:dyDescent="0.3">
      <c r="A704" s="12"/>
      <c r="B704" s="13"/>
      <c r="C704" s="13"/>
      <c r="D704" s="13"/>
      <c r="E704" s="13"/>
      <c r="F704" s="13"/>
      <c r="G704" s="1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21">
        <f>SUM(H704:DL704)</f>
        <v>0</v>
      </c>
    </row>
    <row r="705" spans="1:117" x14ac:dyDescent="0.3">
      <c r="A705" s="12"/>
      <c r="B705" s="13"/>
      <c r="C705" s="13"/>
      <c r="D705" s="13"/>
      <c r="E705" s="13"/>
      <c r="F705" s="13"/>
      <c r="G705" s="1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5">
        <v>0.33333299999999999</v>
      </c>
      <c r="CR705" s="15">
        <v>0.33333299999999999</v>
      </c>
      <c r="CS705" s="15">
        <v>0.33333400000000002</v>
      </c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6">
        <f>SUM(H705:DL705)</f>
        <v>1</v>
      </c>
    </row>
    <row r="706" spans="1:117" x14ac:dyDescent="0.3">
      <c r="A706" s="17" t="s">
        <v>636</v>
      </c>
      <c r="B706" s="13" t="s">
        <v>637</v>
      </c>
      <c r="C706" s="13" t="s">
        <v>135</v>
      </c>
      <c r="D706" s="13">
        <v>14229.15</v>
      </c>
      <c r="E706" s="13">
        <f>10748.101*B2</f>
        <v>10748.101000000001</v>
      </c>
      <c r="F706" s="13">
        <f>D706*E706</f>
        <v>152936341.34415001</v>
      </c>
      <c r="G706" s="14">
        <f>F706/A1</f>
        <v>1.9607513781376364E-3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8"/>
      <c r="CR706" s="18"/>
      <c r="CS706" s="18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9"/>
    </row>
    <row r="707" spans="1:117" x14ac:dyDescent="0.3">
      <c r="A707" s="12"/>
      <c r="B707" s="13"/>
      <c r="C707" s="13"/>
      <c r="D707" s="13"/>
      <c r="E707" s="13"/>
      <c r="F707" s="13"/>
      <c r="G707" s="1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20">
        <f>+$D706*CQ705</f>
        <v>4743.0452569499994</v>
      </c>
      <c r="CR707" s="20">
        <f>+$D706*CR705</f>
        <v>4743.0452569499994</v>
      </c>
      <c r="CS707" s="20">
        <f>+$D706*CS705</f>
        <v>4743.0594861</v>
      </c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21">
        <f>SUM(H707:DL707)</f>
        <v>14229.149999999998</v>
      </c>
    </row>
    <row r="708" spans="1:117" x14ac:dyDescent="0.3">
      <c r="A708" s="12"/>
      <c r="B708" s="13"/>
      <c r="C708" s="13"/>
      <c r="D708" s="13"/>
      <c r="E708" s="13"/>
      <c r="F708" s="13"/>
      <c r="G708" s="1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5">
        <v>0.33333299999999999</v>
      </c>
      <c r="CR708" s="15">
        <v>0.33333299999999999</v>
      </c>
      <c r="CS708" s="15">
        <v>0.33333400000000002</v>
      </c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6">
        <f>SUM(H708:DL708)</f>
        <v>1</v>
      </c>
    </row>
    <row r="709" spans="1:117" x14ac:dyDescent="0.3">
      <c r="A709" s="17" t="s">
        <v>638</v>
      </c>
      <c r="B709" s="13" t="s">
        <v>639</v>
      </c>
      <c r="C709" s="13" t="s">
        <v>135</v>
      </c>
      <c r="D709" s="13">
        <v>2826.97</v>
      </c>
      <c r="E709" s="13">
        <f>57024.4589*B2</f>
        <v>57024.458899999998</v>
      </c>
      <c r="F709" s="13">
        <f>D709*E709</f>
        <v>161206434.57653299</v>
      </c>
      <c r="G709" s="14">
        <f>F709/A1</f>
        <v>2.0667797855142191E-3</v>
      </c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8"/>
      <c r="CR709" s="18"/>
      <c r="CS709" s="18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9"/>
    </row>
    <row r="710" spans="1:117" x14ac:dyDescent="0.3">
      <c r="A710" s="12"/>
      <c r="B710" s="13"/>
      <c r="C710" s="13"/>
      <c r="D710" s="13"/>
      <c r="E710" s="13"/>
      <c r="F710" s="13"/>
      <c r="G710" s="1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20">
        <f>+$D709*CQ708</f>
        <v>942.32239100999993</v>
      </c>
      <c r="CR710" s="20">
        <f>+$D709*CR708</f>
        <v>942.32239100999993</v>
      </c>
      <c r="CS710" s="20">
        <f>+$D709*CS708</f>
        <v>942.32521797999993</v>
      </c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21">
        <f>SUM(H710:DL710)</f>
        <v>2826.97</v>
      </c>
    </row>
    <row r="711" spans="1:117" x14ac:dyDescent="0.3">
      <c r="A711" s="12"/>
      <c r="B711" s="13"/>
      <c r="C711" s="13"/>
      <c r="D711" s="13"/>
      <c r="E711" s="13"/>
      <c r="F711" s="13"/>
      <c r="G711" s="1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6">
        <f>SUM(H711:DL711)</f>
        <v>0</v>
      </c>
    </row>
    <row r="712" spans="1:117" x14ac:dyDescent="0.3">
      <c r="A712" s="17" t="s">
        <v>640</v>
      </c>
      <c r="B712" s="13" t="s">
        <v>641</v>
      </c>
      <c r="C712" s="13" t="s">
        <v>126</v>
      </c>
      <c r="D712" s="13">
        <v>0</v>
      </c>
      <c r="E712" s="13">
        <f>1703356.1617*B2</f>
        <v>1703356.1617000001</v>
      </c>
      <c r="F712" s="13">
        <f>D712*E712</f>
        <v>0</v>
      </c>
      <c r="G712" s="14">
        <f>F712/A1</f>
        <v>0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9"/>
    </row>
    <row r="713" spans="1:117" x14ac:dyDescent="0.3">
      <c r="A713" s="12"/>
      <c r="B713" s="13"/>
      <c r="C713" s="13"/>
      <c r="D713" s="13"/>
      <c r="E713" s="13"/>
      <c r="F713" s="13"/>
      <c r="G713" s="1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21">
        <f>SUM(H713:DL713)</f>
        <v>0</v>
      </c>
    </row>
    <row r="714" spans="1:117" x14ac:dyDescent="0.3">
      <c r="A714" s="12"/>
      <c r="B714" s="13"/>
      <c r="C714" s="13"/>
      <c r="D714" s="13"/>
      <c r="E714" s="13"/>
      <c r="F714" s="13"/>
      <c r="G714" s="1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5">
        <v>0.5</v>
      </c>
      <c r="CU714" s="15">
        <v>0.5</v>
      </c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6">
        <f>SUM(H714:DL714)</f>
        <v>1</v>
      </c>
    </row>
    <row r="715" spans="1:117" x14ac:dyDescent="0.3">
      <c r="A715" s="17" t="s">
        <v>642</v>
      </c>
      <c r="B715" s="13" t="s">
        <v>643</v>
      </c>
      <c r="C715" s="13" t="s">
        <v>135</v>
      </c>
      <c r="D715" s="13">
        <v>9434.7800000000007</v>
      </c>
      <c r="E715" s="13">
        <f>39419.0258*B2</f>
        <v>39419.025800000003</v>
      </c>
      <c r="F715" s="13">
        <f>D715*E715</f>
        <v>371909836.23732406</v>
      </c>
      <c r="G715" s="14">
        <f>F715/A1</f>
        <v>4.7681454750138066E-3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8"/>
      <c r="CU715" s="18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9"/>
    </row>
    <row r="716" spans="1:117" x14ac:dyDescent="0.3">
      <c r="A716" s="12"/>
      <c r="B716" s="13"/>
      <c r="C716" s="13"/>
      <c r="D716" s="13"/>
      <c r="E716" s="13"/>
      <c r="F716" s="13"/>
      <c r="G716" s="1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20">
        <f>+$D715*CT714</f>
        <v>4717.3900000000003</v>
      </c>
      <c r="CU716" s="20">
        <f>+$D715*CU714</f>
        <v>4717.3900000000003</v>
      </c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21">
        <f>SUM(H716:DL716)</f>
        <v>9434.7800000000007</v>
      </c>
    </row>
    <row r="717" spans="1:117" x14ac:dyDescent="0.3">
      <c r="A717" s="12"/>
      <c r="B717" s="13"/>
      <c r="C717" s="13"/>
      <c r="D717" s="13"/>
      <c r="E717" s="13"/>
      <c r="F717" s="13"/>
      <c r="G717" s="1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6">
        <f>SUM(H717:DL717)</f>
        <v>0</v>
      </c>
    </row>
    <row r="718" spans="1:117" x14ac:dyDescent="0.3">
      <c r="A718" s="17" t="s">
        <v>644</v>
      </c>
      <c r="B718" s="13" t="s">
        <v>645</v>
      </c>
      <c r="C718" s="13" t="s">
        <v>135</v>
      </c>
      <c r="D718" s="13">
        <v>0</v>
      </c>
      <c r="E718" s="13">
        <f>827953.7245*B2</f>
        <v>827953.72450000001</v>
      </c>
      <c r="F718" s="13">
        <f>D718*E718</f>
        <v>0</v>
      </c>
      <c r="G718" s="14">
        <f>F718/A1</f>
        <v>0</v>
      </c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9"/>
    </row>
    <row r="719" spans="1:117" x14ac:dyDescent="0.3">
      <c r="A719" s="12"/>
      <c r="B719" s="13"/>
      <c r="C719" s="13"/>
      <c r="D719" s="13"/>
      <c r="E719" s="13"/>
      <c r="F719" s="13"/>
      <c r="G719" s="1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21">
        <f>SUM(H719:DL719)</f>
        <v>0</v>
      </c>
    </row>
    <row r="720" spans="1:117" x14ac:dyDescent="0.3">
      <c r="A720" s="12"/>
      <c r="B720" s="13"/>
      <c r="C720" s="13"/>
      <c r="D720" s="13"/>
      <c r="E720" s="13"/>
      <c r="F720" s="13"/>
      <c r="G720" s="1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5">
        <v>1</v>
      </c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6">
        <f>SUM(H720:DL720)</f>
        <v>1</v>
      </c>
    </row>
    <row r="721" spans="1:117" x14ac:dyDescent="0.3">
      <c r="A721" s="17" t="s">
        <v>646</v>
      </c>
      <c r="B721" s="13" t="s">
        <v>647</v>
      </c>
      <c r="C721" s="13" t="s">
        <v>135</v>
      </c>
      <c r="D721" s="13">
        <v>52.46</v>
      </c>
      <c r="E721" s="13">
        <f>379553.4711*B2</f>
        <v>379553.47110000002</v>
      </c>
      <c r="F721" s="13">
        <f>D721*E721</f>
        <v>19911375.093906</v>
      </c>
      <c r="G721" s="14">
        <f>F721/A1</f>
        <v>2.5527782221583122E-4</v>
      </c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8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9"/>
    </row>
    <row r="722" spans="1:117" x14ac:dyDescent="0.3">
      <c r="A722" s="12"/>
      <c r="B722" s="13"/>
      <c r="C722" s="13"/>
      <c r="D722" s="13"/>
      <c r="E722" s="13"/>
      <c r="F722" s="13"/>
      <c r="G722" s="1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20">
        <f>+$D721*CT720</f>
        <v>52.46</v>
      </c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21">
        <f>SUM(H722:DL722)</f>
        <v>52.46</v>
      </c>
    </row>
    <row r="723" spans="1:117" x14ac:dyDescent="0.3">
      <c r="A723" s="12"/>
      <c r="B723" s="13"/>
      <c r="C723" s="13"/>
      <c r="D723" s="13"/>
      <c r="E723" s="13"/>
      <c r="F723" s="13"/>
      <c r="G723" s="1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6">
        <f>SUM(H723:DL723)</f>
        <v>0</v>
      </c>
    </row>
    <row r="724" spans="1:117" x14ac:dyDescent="0.3">
      <c r="A724" s="17" t="s">
        <v>648</v>
      </c>
      <c r="B724" s="13" t="s">
        <v>649</v>
      </c>
      <c r="C724" s="13" t="s">
        <v>319</v>
      </c>
      <c r="D724" s="13">
        <v>0</v>
      </c>
      <c r="E724" s="13">
        <f>76117567.0715*B2</f>
        <v>76117567.071500003</v>
      </c>
      <c r="F724" s="13">
        <f>D724*E724</f>
        <v>0</v>
      </c>
      <c r="G724" s="14">
        <f>F724/A1</f>
        <v>0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9"/>
    </row>
    <row r="725" spans="1:117" x14ac:dyDescent="0.3">
      <c r="A725" s="12"/>
      <c r="B725" s="13"/>
      <c r="C725" s="13"/>
      <c r="D725" s="13"/>
      <c r="E725" s="13"/>
      <c r="F725" s="13"/>
      <c r="G725" s="1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21">
        <f>SUM(H725:DL725)</f>
        <v>0</v>
      </c>
    </row>
    <row r="726" spans="1:117" x14ac:dyDescent="0.3">
      <c r="A726" s="12"/>
      <c r="B726" s="13"/>
      <c r="C726" s="13"/>
      <c r="D726" s="13"/>
      <c r="E726" s="13"/>
      <c r="F726" s="13"/>
      <c r="G726" s="1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6">
        <f>SUM(H726:DL726)</f>
        <v>0</v>
      </c>
    </row>
    <row r="727" spans="1:117" x14ac:dyDescent="0.3">
      <c r="A727" s="17" t="s">
        <v>650</v>
      </c>
      <c r="B727" s="13" t="s">
        <v>651</v>
      </c>
      <c r="C727" s="13" t="s">
        <v>319</v>
      </c>
      <c r="D727" s="13">
        <v>0</v>
      </c>
      <c r="E727" s="13">
        <f>51105343.2945*B2</f>
        <v>51105343.294500001</v>
      </c>
      <c r="F727" s="13">
        <f>D727*E727</f>
        <v>0</v>
      </c>
      <c r="G727" s="14">
        <f>F727/A1</f>
        <v>0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9"/>
    </row>
    <row r="728" spans="1:117" x14ac:dyDescent="0.3">
      <c r="A728" s="12"/>
      <c r="B728" s="13"/>
      <c r="C728" s="13"/>
      <c r="D728" s="13"/>
      <c r="E728" s="13"/>
      <c r="F728" s="13"/>
      <c r="G728" s="1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21">
        <f>SUM(H728:DL728)</f>
        <v>0</v>
      </c>
    </row>
    <row r="729" spans="1:117" x14ac:dyDescent="0.3">
      <c r="A729" s="8" t="s">
        <v>652</v>
      </c>
      <c r="B729" s="9" t="s">
        <v>653</v>
      </c>
      <c r="C729" s="9"/>
      <c r="D729" s="9"/>
      <c r="E729" s="9"/>
      <c r="F729" s="9"/>
      <c r="G729" s="1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11"/>
    </row>
    <row r="730" spans="1:117" x14ac:dyDescent="0.3">
      <c r="A730" s="12"/>
      <c r="B730" s="13"/>
      <c r="C730" s="13"/>
      <c r="D730" s="13"/>
      <c r="E730" s="13"/>
      <c r="F730" s="13"/>
      <c r="G730" s="1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5">
        <v>1</v>
      </c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6">
        <f>SUM(H730:DL730)</f>
        <v>1</v>
      </c>
    </row>
    <row r="731" spans="1:117" x14ac:dyDescent="0.3">
      <c r="A731" s="17" t="s">
        <v>654</v>
      </c>
      <c r="B731" s="13" t="s">
        <v>655</v>
      </c>
      <c r="C731" s="13" t="s">
        <v>126</v>
      </c>
      <c r="D731" s="13">
        <v>8</v>
      </c>
      <c r="E731" s="13">
        <f>124991.0957*B2</f>
        <v>124991.09570000001</v>
      </c>
      <c r="F731" s="13">
        <f>D731*E731</f>
        <v>999928.76560000004</v>
      </c>
      <c r="G731" s="14">
        <f>F731/A1</f>
        <v>1.2819789514761145E-5</v>
      </c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8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9"/>
    </row>
    <row r="732" spans="1:117" x14ac:dyDescent="0.3">
      <c r="A732" s="12"/>
      <c r="B732" s="13"/>
      <c r="C732" s="13"/>
      <c r="D732" s="13"/>
      <c r="E732" s="13"/>
      <c r="F732" s="13"/>
      <c r="G732" s="1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20">
        <f>+$D731*CU730</f>
        <v>8</v>
      </c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21">
        <f>SUM(H732:DL732)</f>
        <v>8</v>
      </c>
    </row>
    <row r="733" spans="1:117" x14ac:dyDescent="0.3">
      <c r="A733" s="12"/>
      <c r="B733" s="13"/>
      <c r="C733" s="13"/>
      <c r="D733" s="13"/>
      <c r="E733" s="13"/>
      <c r="F733" s="13"/>
      <c r="G733" s="1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5">
        <v>1</v>
      </c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6">
        <f>SUM(H733:DL733)</f>
        <v>1</v>
      </c>
    </row>
    <row r="734" spans="1:117" x14ac:dyDescent="0.3">
      <c r="A734" s="17" t="s">
        <v>656</v>
      </c>
      <c r="B734" s="13" t="s">
        <v>657</v>
      </c>
      <c r="C734" s="13" t="s">
        <v>126</v>
      </c>
      <c r="D734" s="13">
        <v>34</v>
      </c>
      <c r="E734" s="13">
        <f>144010.0648*B2</f>
        <v>144010.06479999999</v>
      </c>
      <c r="F734" s="13">
        <f>D734*E734</f>
        <v>4896342.2031999994</v>
      </c>
      <c r="G734" s="14">
        <f>F734/A1</f>
        <v>6.2774548144538175E-5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8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9"/>
    </row>
    <row r="735" spans="1:117" x14ac:dyDescent="0.3">
      <c r="A735" s="12"/>
      <c r="B735" s="13"/>
      <c r="C735" s="13"/>
      <c r="D735" s="13"/>
      <c r="E735" s="13"/>
      <c r="F735" s="13"/>
      <c r="G735" s="1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20">
        <f>+$D734*CU733</f>
        <v>34</v>
      </c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21">
        <f>SUM(H735:DL735)</f>
        <v>34</v>
      </c>
    </row>
    <row r="736" spans="1:117" x14ac:dyDescent="0.3">
      <c r="A736" s="12"/>
      <c r="B736" s="13"/>
      <c r="C736" s="13"/>
      <c r="D736" s="13"/>
      <c r="E736" s="13"/>
      <c r="F736" s="13"/>
      <c r="G736" s="1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5">
        <v>0.5</v>
      </c>
      <c r="CV736" s="15">
        <v>0.5</v>
      </c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6">
        <f>SUM(H736:DL736)</f>
        <v>1</v>
      </c>
    </row>
    <row r="737" spans="1:117" x14ac:dyDescent="0.3">
      <c r="A737" s="17" t="s">
        <v>658</v>
      </c>
      <c r="B737" s="13" t="s">
        <v>659</v>
      </c>
      <c r="C737" s="13" t="s">
        <v>280</v>
      </c>
      <c r="D737" s="13">
        <v>2</v>
      </c>
      <c r="E737" s="13">
        <f>2835013.6231*B2</f>
        <v>2835013.6231</v>
      </c>
      <c r="F737" s="13">
        <f>D737*E737</f>
        <v>5670027.2461999999</v>
      </c>
      <c r="G737" s="14">
        <f>F737/A1</f>
        <v>7.2693734133779541E-5</v>
      </c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8"/>
      <c r="CV737" s="18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9"/>
    </row>
    <row r="738" spans="1:117" x14ac:dyDescent="0.3">
      <c r="A738" s="12"/>
      <c r="B738" s="13"/>
      <c r="C738" s="13"/>
      <c r="D738" s="13"/>
      <c r="E738" s="13"/>
      <c r="F738" s="13"/>
      <c r="G738" s="1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20">
        <f>+$D737*CU736</f>
        <v>1</v>
      </c>
      <c r="CV738" s="20">
        <f>+$D737*CV736</f>
        <v>1</v>
      </c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21">
        <f>SUM(H738:DL738)</f>
        <v>2</v>
      </c>
    </row>
    <row r="739" spans="1:117" x14ac:dyDescent="0.3">
      <c r="A739" s="12"/>
      <c r="B739" s="13"/>
      <c r="C739" s="13"/>
      <c r="D739" s="13"/>
      <c r="E739" s="13"/>
      <c r="F739" s="13"/>
      <c r="G739" s="1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5">
        <v>1</v>
      </c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6">
        <f>SUM(H739:DL739)</f>
        <v>1</v>
      </c>
    </row>
    <row r="740" spans="1:117" x14ac:dyDescent="0.3">
      <c r="A740" s="17" t="s">
        <v>660</v>
      </c>
      <c r="B740" s="13" t="s">
        <v>661</v>
      </c>
      <c r="C740" s="13" t="s">
        <v>319</v>
      </c>
      <c r="D740" s="13">
        <v>1</v>
      </c>
      <c r="E740" s="13">
        <f>856550.1548*B2</f>
        <v>856550.15480000002</v>
      </c>
      <c r="F740" s="13">
        <f>D740*E740</f>
        <v>856550.15480000002</v>
      </c>
      <c r="G740" s="14">
        <f>F740/A1</f>
        <v>1.0981574959275354E-5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8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9"/>
    </row>
    <row r="741" spans="1:117" x14ac:dyDescent="0.3">
      <c r="A741" s="12"/>
      <c r="B741" s="13"/>
      <c r="C741" s="13"/>
      <c r="D741" s="13"/>
      <c r="E741" s="13"/>
      <c r="F741" s="13"/>
      <c r="G741" s="1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20">
        <f>+$D740*CU739</f>
        <v>1</v>
      </c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21">
        <f>SUM(H741:DL741)</f>
        <v>1</v>
      </c>
    </row>
    <row r="742" spans="1:117" x14ac:dyDescent="0.3">
      <c r="A742" s="12"/>
      <c r="B742" s="13"/>
      <c r="C742" s="13"/>
      <c r="D742" s="13"/>
      <c r="E742" s="13"/>
      <c r="F742" s="13"/>
      <c r="G742" s="1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5">
        <v>1</v>
      </c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6">
        <f>SUM(H742:DL742)</f>
        <v>1</v>
      </c>
    </row>
    <row r="743" spans="1:117" x14ac:dyDescent="0.3">
      <c r="A743" s="17" t="s">
        <v>662</v>
      </c>
      <c r="B743" s="13" t="s">
        <v>663</v>
      </c>
      <c r="C743" s="13" t="s">
        <v>319</v>
      </c>
      <c r="D743" s="13">
        <v>1</v>
      </c>
      <c r="E743" s="13">
        <f>3272922.963*B2</f>
        <v>3272922.963</v>
      </c>
      <c r="F743" s="13">
        <f>D743*E743</f>
        <v>3272922.963</v>
      </c>
      <c r="G743" s="14">
        <f>F743/A1</f>
        <v>4.1961172562639173E-5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8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9"/>
    </row>
    <row r="744" spans="1:117" x14ac:dyDescent="0.3">
      <c r="A744" s="12"/>
      <c r="B744" s="13"/>
      <c r="C744" s="13"/>
      <c r="D744" s="13"/>
      <c r="E744" s="13"/>
      <c r="F744" s="13"/>
      <c r="G744" s="1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20">
        <f>+$D743*CU742</f>
        <v>1</v>
      </c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21">
        <f>SUM(H744:DL744)</f>
        <v>1</v>
      </c>
    </row>
    <row r="745" spans="1:117" x14ac:dyDescent="0.3">
      <c r="A745" s="12"/>
      <c r="B745" s="13"/>
      <c r="C745" s="13"/>
      <c r="D745" s="13"/>
      <c r="E745" s="13"/>
      <c r="F745" s="13"/>
      <c r="G745" s="1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5">
        <v>1</v>
      </c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6">
        <f>SUM(H745:DL745)</f>
        <v>1</v>
      </c>
    </row>
    <row r="746" spans="1:117" x14ac:dyDescent="0.3">
      <c r="A746" s="17" t="s">
        <v>664</v>
      </c>
      <c r="B746" s="13" t="s">
        <v>665</v>
      </c>
      <c r="C746" s="13" t="s">
        <v>274</v>
      </c>
      <c r="D746" s="13">
        <v>150</v>
      </c>
      <c r="E746" s="13">
        <f>52323.4951*B2</f>
        <v>52323.4951</v>
      </c>
      <c r="F746" s="13">
        <f>D746*E746</f>
        <v>7848524.2649999997</v>
      </c>
      <c r="G746" s="14">
        <f>F746/A1</f>
        <v>1.006235969403493E-4</v>
      </c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8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9"/>
    </row>
    <row r="747" spans="1:117" x14ac:dyDescent="0.3">
      <c r="A747" s="12"/>
      <c r="B747" s="13"/>
      <c r="C747" s="13"/>
      <c r="D747" s="13"/>
      <c r="E747" s="13"/>
      <c r="F747" s="13"/>
      <c r="G747" s="1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20">
        <f>+$D746*CU745</f>
        <v>150</v>
      </c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21">
        <f>SUM(H747:DL747)</f>
        <v>150</v>
      </c>
    </row>
    <row r="748" spans="1:117" x14ac:dyDescent="0.3">
      <c r="A748" s="12"/>
      <c r="B748" s="13"/>
      <c r="C748" s="13"/>
      <c r="D748" s="13"/>
      <c r="E748" s="13"/>
      <c r="F748" s="13"/>
      <c r="G748" s="1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5">
        <v>1</v>
      </c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6">
        <f>SUM(H748:DL748)</f>
        <v>1</v>
      </c>
    </row>
    <row r="749" spans="1:117" x14ac:dyDescent="0.3">
      <c r="A749" s="17" t="s">
        <v>666</v>
      </c>
      <c r="B749" s="13" t="s">
        <v>667</v>
      </c>
      <c r="C749" s="13" t="s">
        <v>347</v>
      </c>
      <c r="D749" s="13">
        <v>55.9</v>
      </c>
      <c r="E749" s="13">
        <f>44662.0894*B2</f>
        <v>44662.089399999997</v>
      </c>
      <c r="F749" s="13">
        <f>D749*E749</f>
        <v>2496610.7974599996</v>
      </c>
      <c r="G749" s="14">
        <f>F749/A1</f>
        <v>3.2008305016120003E-5</v>
      </c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8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9"/>
    </row>
    <row r="750" spans="1:117" x14ac:dyDescent="0.3">
      <c r="A750" s="12"/>
      <c r="B750" s="13"/>
      <c r="C750" s="13"/>
      <c r="D750" s="13"/>
      <c r="E750" s="13"/>
      <c r="F750" s="13"/>
      <c r="G750" s="1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20">
        <f>+$D749*CQ748</f>
        <v>55.9</v>
      </c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21">
        <f>SUM(H750:DL750)</f>
        <v>55.9</v>
      </c>
    </row>
    <row r="751" spans="1:117" x14ac:dyDescent="0.3">
      <c r="A751" s="12"/>
      <c r="B751" s="13"/>
      <c r="C751" s="13"/>
      <c r="D751" s="13"/>
      <c r="E751" s="13"/>
      <c r="F751" s="13"/>
      <c r="G751" s="1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5">
        <v>1</v>
      </c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6">
        <f>SUM(H751:DL751)</f>
        <v>1</v>
      </c>
    </row>
    <row r="752" spans="1:117" x14ac:dyDescent="0.3">
      <c r="A752" s="17" t="s">
        <v>668</v>
      </c>
      <c r="B752" s="13" t="s">
        <v>669</v>
      </c>
      <c r="C752" s="13" t="s">
        <v>347</v>
      </c>
      <c r="D752" s="13">
        <v>462</v>
      </c>
      <c r="E752" s="13">
        <f>52139.1588*B2</f>
        <v>52139.158799999997</v>
      </c>
      <c r="F752" s="13">
        <f>D752*E752</f>
        <v>24088291.365599997</v>
      </c>
      <c r="G752" s="14">
        <f>F752/A1</f>
        <v>3.0882882431323294E-4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8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9"/>
    </row>
    <row r="753" spans="1:117" x14ac:dyDescent="0.3">
      <c r="A753" s="12"/>
      <c r="B753" s="13"/>
      <c r="C753" s="13"/>
      <c r="D753" s="13"/>
      <c r="E753" s="13"/>
      <c r="F753" s="13"/>
      <c r="G753" s="1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20">
        <f>+$D752*CQ751</f>
        <v>462</v>
      </c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21">
        <f>SUM(H753:DL753)</f>
        <v>462</v>
      </c>
    </row>
    <row r="754" spans="1:117" x14ac:dyDescent="0.3">
      <c r="A754" s="12"/>
      <c r="B754" s="13"/>
      <c r="C754" s="13"/>
      <c r="D754" s="13"/>
      <c r="E754" s="13"/>
      <c r="F754" s="13"/>
      <c r="G754" s="1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5">
        <v>1</v>
      </c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6">
        <f>SUM(H754:DL754)</f>
        <v>1</v>
      </c>
    </row>
    <row r="755" spans="1:117" x14ac:dyDescent="0.3">
      <c r="A755" s="17" t="s">
        <v>670</v>
      </c>
      <c r="B755" s="13" t="s">
        <v>671</v>
      </c>
      <c r="C755" s="13" t="s">
        <v>347</v>
      </c>
      <c r="D755" s="13">
        <v>239.4</v>
      </c>
      <c r="E755" s="13">
        <f>76203.1783*B2</f>
        <v>76203.1783</v>
      </c>
      <c r="F755" s="13">
        <f>D755*E755</f>
        <v>18243040.885019999</v>
      </c>
      <c r="G755" s="14">
        <f>F755/A1</f>
        <v>2.3388860516959434E-4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8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9"/>
    </row>
    <row r="756" spans="1:117" x14ac:dyDescent="0.3">
      <c r="A756" s="12"/>
      <c r="B756" s="13"/>
      <c r="C756" s="13"/>
      <c r="D756" s="13"/>
      <c r="E756" s="13"/>
      <c r="F756" s="13"/>
      <c r="G756" s="1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20">
        <f>+$D755*CQ754</f>
        <v>239.4</v>
      </c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21">
        <f>SUM(H756:DL756)</f>
        <v>239.4</v>
      </c>
    </row>
    <row r="757" spans="1:117" x14ac:dyDescent="0.3">
      <c r="A757" s="12"/>
      <c r="B757" s="13"/>
      <c r="C757" s="13"/>
      <c r="D757" s="13"/>
      <c r="E757" s="13"/>
      <c r="F757" s="13"/>
      <c r="G757" s="1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5">
        <v>0.57142899999999996</v>
      </c>
      <c r="CU757" s="15">
        <v>0.42857099999999998</v>
      </c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6">
        <f>SUM(H757:DL757)</f>
        <v>1</v>
      </c>
    </row>
    <row r="758" spans="1:117" x14ac:dyDescent="0.3">
      <c r="A758" s="17" t="s">
        <v>672</v>
      </c>
      <c r="B758" s="13" t="s">
        <v>673</v>
      </c>
      <c r="C758" s="13" t="s">
        <v>126</v>
      </c>
      <c r="D758" s="13">
        <v>70</v>
      </c>
      <c r="E758" s="13">
        <f>1590574.3237*B2</f>
        <v>1590574.3237000001</v>
      </c>
      <c r="F758" s="13">
        <f>D758*E758</f>
        <v>111340202.65900001</v>
      </c>
      <c r="G758" s="14">
        <f>F758/A1</f>
        <v>1.4274596468506968E-3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8"/>
      <c r="CU758" s="18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9"/>
    </row>
    <row r="759" spans="1:117" x14ac:dyDescent="0.3">
      <c r="A759" s="12"/>
      <c r="B759" s="13"/>
      <c r="C759" s="13"/>
      <c r="D759" s="13"/>
      <c r="E759" s="13"/>
      <c r="F759" s="13"/>
      <c r="G759" s="1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20">
        <f>+$D758*CT757</f>
        <v>40.000029999999995</v>
      </c>
      <c r="CU759" s="20">
        <f>+$D758*CU757</f>
        <v>29.999969999999998</v>
      </c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21">
        <f>SUM(H759:DL759)</f>
        <v>70</v>
      </c>
    </row>
    <row r="760" spans="1:117" x14ac:dyDescent="0.3">
      <c r="A760" s="12"/>
      <c r="B760" s="13"/>
      <c r="C760" s="13"/>
      <c r="D760" s="13"/>
      <c r="E760" s="13"/>
      <c r="F760" s="13"/>
      <c r="G760" s="1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5">
        <v>1</v>
      </c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6">
        <f>SUM(H760:DL760)</f>
        <v>1</v>
      </c>
    </row>
    <row r="761" spans="1:117" x14ac:dyDescent="0.3">
      <c r="A761" s="17" t="s">
        <v>674</v>
      </c>
      <c r="B761" s="13" t="s">
        <v>675</v>
      </c>
      <c r="C761" s="13" t="s">
        <v>126</v>
      </c>
      <c r="D761" s="13">
        <v>6</v>
      </c>
      <c r="E761" s="13">
        <f>163051.5515*B2</f>
        <v>163051.5515</v>
      </c>
      <c r="F761" s="13">
        <f>D761*E761</f>
        <v>978309.30900000001</v>
      </c>
      <c r="G761" s="14">
        <f>F761/A1</f>
        <v>1.2542612887214874E-5</v>
      </c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8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9"/>
    </row>
    <row r="762" spans="1:117" x14ac:dyDescent="0.3">
      <c r="A762" s="12"/>
      <c r="B762" s="13"/>
      <c r="C762" s="13"/>
      <c r="D762" s="13"/>
      <c r="E762" s="13"/>
      <c r="F762" s="13"/>
      <c r="G762" s="1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20">
        <f>+$D761*CQ760</f>
        <v>6</v>
      </c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21">
        <f>SUM(H762:DL762)</f>
        <v>6</v>
      </c>
    </row>
    <row r="763" spans="1:117" x14ac:dyDescent="0.3">
      <c r="A763" s="12"/>
      <c r="B763" s="13"/>
      <c r="C763" s="13"/>
      <c r="D763" s="13"/>
      <c r="E763" s="13"/>
      <c r="F763" s="13"/>
      <c r="G763" s="1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5">
        <v>1</v>
      </c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6">
        <f>SUM(H763:DL763)</f>
        <v>1</v>
      </c>
    </row>
    <row r="764" spans="1:117" x14ac:dyDescent="0.3">
      <c r="A764" s="17" t="s">
        <v>676</v>
      </c>
      <c r="B764" s="13" t="s">
        <v>677</v>
      </c>
      <c r="C764" s="13" t="s">
        <v>319</v>
      </c>
      <c r="D764" s="13">
        <v>1</v>
      </c>
      <c r="E764" s="13">
        <f>26664040.8787*B2</f>
        <v>26664040.878699999</v>
      </c>
      <c r="F764" s="13">
        <f>D764*E764</f>
        <v>26664040.878699999</v>
      </c>
      <c r="G764" s="14">
        <f>F764/A1</f>
        <v>3.4185174328174242E-4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8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9"/>
    </row>
    <row r="765" spans="1:117" x14ac:dyDescent="0.3">
      <c r="A765" s="12"/>
      <c r="B765" s="13"/>
      <c r="C765" s="13"/>
      <c r="D765" s="13"/>
      <c r="E765" s="13"/>
      <c r="F765" s="13"/>
      <c r="G765" s="1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20">
        <f>+$D764*CU763</f>
        <v>1</v>
      </c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21">
        <f>SUM(H765:DL765)</f>
        <v>1</v>
      </c>
    </row>
    <row r="766" spans="1:117" x14ac:dyDescent="0.3">
      <c r="A766" s="12"/>
      <c r="B766" s="13"/>
      <c r="C766" s="13"/>
      <c r="D766" s="13"/>
      <c r="E766" s="13"/>
      <c r="F766" s="13"/>
      <c r="G766" s="1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5">
        <v>1</v>
      </c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6">
        <f>SUM(H766:DL766)</f>
        <v>1</v>
      </c>
    </row>
    <row r="767" spans="1:117" x14ac:dyDescent="0.3">
      <c r="A767" s="17" t="s">
        <v>678</v>
      </c>
      <c r="B767" s="13" t="s">
        <v>679</v>
      </c>
      <c r="C767" s="13" t="s">
        <v>280</v>
      </c>
      <c r="D767" s="13">
        <v>1</v>
      </c>
      <c r="E767" s="13">
        <f>30316417.7272*B2</f>
        <v>30316417.727200001</v>
      </c>
      <c r="F767" s="13">
        <f>D767*E767</f>
        <v>30316417.727200001</v>
      </c>
      <c r="G767" s="14">
        <f>F767/A1</f>
        <v>3.8867778133282405E-4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8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9"/>
    </row>
    <row r="768" spans="1:117" x14ac:dyDescent="0.3">
      <c r="A768" s="12"/>
      <c r="B768" s="13"/>
      <c r="C768" s="13"/>
      <c r="D768" s="13"/>
      <c r="E768" s="13"/>
      <c r="F768" s="13"/>
      <c r="G768" s="1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20">
        <f>+$D767*CT766</f>
        <v>1</v>
      </c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21">
        <f>SUM(H768:DL768)</f>
        <v>1</v>
      </c>
    </row>
    <row r="769" spans="1:117" x14ac:dyDescent="0.3">
      <c r="A769" s="12"/>
      <c r="B769" s="13"/>
      <c r="C769" s="13"/>
      <c r="D769" s="13"/>
      <c r="E769" s="13"/>
      <c r="F769" s="13"/>
      <c r="G769" s="1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5">
        <v>1</v>
      </c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6">
        <f>SUM(H769:DL769)</f>
        <v>1</v>
      </c>
    </row>
    <row r="770" spans="1:117" x14ac:dyDescent="0.3">
      <c r="A770" s="17" t="s">
        <v>680</v>
      </c>
      <c r="B770" s="13" t="s">
        <v>681</v>
      </c>
      <c r="C770" s="13" t="s">
        <v>280</v>
      </c>
      <c r="D770" s="13">
        <v>2</v>
      </c>
      <c r="E770" s="13">
        <f>36788245.8843*B2</f>
        <v>36788245.884300001</v>
      </c>
      <c r="F770" s="13">
        <f>D770*E770</f>
        <v>73576491.768600002</v>
      </c>
      <c r="G770" s="14">
        <f>F770/A1</f>
        <v>9.4330233328373799E-4</v>
      </c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8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9"/>
    </row>
    <row r="771" spans="1:117" x14ac:dyDescent="0.3">
      <c r="A771" s="12"/>
      <c r="B771" s="13"/>
      <c r="C771" s="13"/>
      <c r="D771" s="13"/>
      <c r="E771" s="13"/>
      <c r="F771" s="13"/>
      <c r="G771" s="1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20">
        <f>+$D770*CT769</f>
        <v>2</v>
      </c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21">
        <f>SUM(H771:DL771)</f>
        <v>2</v>
      </c>
    </row>
    <row r="772" spans="1:117" x14ac:dyDescent="0.3">
      <c r="A772" s="12"/>
      <c r="B772" s="13"/>
      <c r="C772" s="13"/>
      <c r="D772" s="13"/>
      <c r="E772" s="13"/>
      <c r="F772" s="13"/>
      <c r="G772" s="1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5">
        <v>0.25</v>
      </c>
      <c r="CS772" s="15">
        <v>0.25</v>
      </c>
      <c r="CT772" s="15">
        <v>0.25</v>
      </c>
      <c r="CU772" s="15">
        <v>0.25</v>
      </c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6">
        <f>SUM(H772:DL772)</f>
        <v>1</v>
      </c>
    </row>
    <row r="773" spans="1:117" x14ac:dyDescent="0.3">
      <c r="A773" s="17" t="s">
        <v>682</v>
      </c>
      <c r="B773" s="13" t="s">
        <v>683</v>
      </c>
      <c r="C773" s="13" t="s">
        <v>126</v>
      </c>
      <c r="D773" s="13">
        <v>842</v>
      </c>
      <c r="E773" s="13">
        <f>1501611.1658*B2</f>
        <v>1501611.1658000001</v>
      </c>
      <c r="F773" s="13">
        <f>D773*E773</f>
        <v>1264356601.6036</v>
      </c>
      <c r="G773" s="14">
        <f>F773/A1</f>
        <v>1.6209940209521725E-2</v>
      </c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8"/>
      <c r="CS773" s="18"/>
      <c r="CT773" s="18"/>
      <c r="CU773" s="18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9"/>
    </row>
    <row r="774" spans="1:117" x14ac:dyDescent="0.3">
      <c r="A774" s="12"/>
      <c r="B774" s="13"/>
      <c r="C774" s="13"/>
      <c r="D774" s="13"/>
      <c r="E774" s="13"/>
      <c r="F774" s="13"/>
      <c r="G774" s="1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20">
        <f>+$D773*CR772</f>
        <v>210.5</v>
      </c>
      <c r="CS774" s="20">
        <f>+$D773*CS772</f>
        <v>210.5</v>
      </c>
      <c r="CT774" s="20">
        <f>+$D773*CT772</f>
        <v>210.5</v>
      </c>
      <c r="CU774" s="20">
        <f>+$D773*CU772</f>
        <v>210.5</v>
      </c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21">
        <f>SUM(H774:DL774)</f>
        <v>842</v>
      </c>
    </row>
    <row r="775" spans="1:117" x14ac:dyDescent="0.3">
      <c r="A775" s="12"/>
      <c r="B775" s="13"/>
      <c r="C775" s="13"/>
      <c r="D775" s="13"/>
      <c r="E775" s="13"/>
      <c r="F775" s="13"/>
      <c r="G775" s="1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5">
        <v>1</v>
      </c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6">
        <f>SUM(H775:DL775)</f>
        <v>1</v>
      </c>
    </row>
    <row r="776" spans="1:117" x14ac:dyDescent="0.3">
      <c r="A776" s="17" t="s">
        <v>684</v>
      </c>
      <c r="B776" s="13" t="s">
        <v>685</v>
      </c>
      <c r="C776" s="13" t="s">
        <v>274</v>
      </c>
      <c r="D776" s="13">
        <v>6</v>
      </c>
      <c r="E776" s="13">
        <f>3451306.7649*B2</f>
        <v>3451306.7648999998</v>
      </c>
      <c r="F776" s="13">
        <f>D776*E776</f>
        <v>20707840.589400001</v>
      </c>
      <c r="G776" s="14">
        <f>F776/A1</f>
        <v>2.65489069615916E-4</v>
      </c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8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9"/>
    </row>
    <row r="777" spans="1:117" x14ac:dyDescent="0.3">
      <c r="A777" s="12"/>
      <c r="B777" s="13"/>
      <c r="C777" s="13"/>
      <c r="D777" s="13"/>
      <c r="E777" s="13"/>
      <c r="F777" s="13"/>
      <c r="G777" s="1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20">
        <f>+$D776*CU775</f>
        <v>6</v>
      </c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21">
        <f>SUM(H777:DL777)</f>
        <v>6</v>
      </c>
    </row>
    <row r="778" spans="1:117" x14ac:dyDescent="0.3">
      <c r="A778" s="12"/>
      <c r="B778" s="13"/>
      <c r="C778" s="13"/>
      <c r="D778" s="13"/>
      <c r="E778" s="13"/>
      <c r="F778" s="13"/>
      <c r="G778" s="1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5">
        <v>1</v>
      </c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6">
        <f>SUM(H778:DL778)</f>
        <v>1</v>
      </c>
    </row>
    <row r="779" spans="1:117" x14ac:dyDescent="0.3">
      <c r="A779" s="17" t="s">
        <v>686</v>
      </c>
      <c r="B779" s="13" t="s">
        <v>687</v>
      </c>
      <c r="C779" s="13" t="s">
        <v>126</v>
      </c>
      <c r="D779" s="13">
        <v>48</v>
      </c>
      <c r="E779" s="13">
        <f>104636.9103*B2</f>
        <v>104636.9103</v>
      </c>
      <c r="F779" s="13">
        <f>D779*E779</f>
        <v>5022571.6944000004</v>
      </c>
      <c r="G779" s="14">
        <f>F779/A1</f>
        <v>6.4392898934525101E-5</v>
      </c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8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9"/>
    </row>
    <row r="780" spans="1:117" x14ac:dyDescent="0.3">
      <c r="A780" s="12"/>
      <c r="B780" s="13"/>
      <c r="C780" s="13"/>
      <c r="D780" s="13"/>
      <c r="E780" s="13"/>
      <c r="F780" s="13"/>
      <c r="G780" s="1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20">
        <f>+$D779*CU778</f>
        <v>48</v>
      </c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21">
        <f>SUM(H780:DL780)</f>
        <v>48</v>
      </c>
    </row>
    <row r="781" spans="1:117" x14ac:dyDescent="0.3">
      <c r="A781" s="12"/>
      <c r="B781" s="13"/>
      <c r="C781" s="13"/>
      <c r="D781" s="13"/>
      <c r="E781" s="13"/>
      <c r="F781" s="13"/>
      <c r="G781" s="1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5">
        <v>1</v>
      </c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6">
        <f>SUM(H781:DL781)</f>
        <v>1</v>
      </c>
    </row>
    <row r="782" spans="1:117" x14ac:dyDescent="0.3">
      <c r="A782" s="17" t="s">
        <v>688</v>
      </c>
      <c r="B782" s="13" t="s">
        <v>689</v>
      </c>
      <c r="C782" s="13" t="s">
        <v>126</v>
      </c>
      <c r="D782" s="13">
        <v>10</v>
      </c>
      <c r="E782" s="13">
        <f>1969752*B2</f>
        <v>1969752</v>
      </c>
      <c r="F782" s="13">
        <f>D782*E782</f>
        <v>19697520</v>
      </c>
      <c r="G782" s="14">
        <f>F782/A1</f>
        <v>2.5253604961677074E-4</v>
      </c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8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9"/>
    </row>
    <row r="783" spans="1:117" x14ac:dyDescent="0.3">
      <c r="A783" s="12"/>
      <c r="B783" s="13"/>
      <c r="C783" s="13"/>
      <c r="D783" s="13"/>
      <c r="E783" s="13"/>
      <c r="F783" s="13"/>
      <c r="G783" s="1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20">
        <f>+$D782*CT781</f>
        <v>10</v>
      </c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21">
        <f>SUM(H783:DL783)</f>
        <v>10</v>
      </c>
    </row>
    <row r="784" spans="1:117" x14ac:dyDescent="0.3">
      <c r="A784" s="12"/>
      <c r="B784" s="13"/>
      <c r="C784" s="13"/>
      <c r="D784" s="13"/>
      <c r="E784" s="13"/>
      <c r="F784" s="13"/>
      <c r="G784" s="1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5">
        <v>1</v>
      </c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6">
        <f>SUM(H784:DL784)</f>
        <v>1</v>
      </c>
    </row>
    <row r="785" spans="1:117" x14ac:dyDescent="0.3">
      <c r="A785" s="17" t="s">
        <v>690</v>
      </c>
      <c r="B785" s="13" t="s">
        <v>691</v>
      </c>
      <c r="C785" s="13" t="s">
        <v>274</v>
      </c>
      <c r="D785" s="13">
        <v>28.3</v>
      </c>
      <c r="E785" s="13">
        <f>1991537.2856*B2</f>
        <v>1991537.2856000001</v>
      </c>
      <c r="F785" s="13">
        <f>D785*E785</f>
        <v>56360505.18248</v>
      </c>
      <c r="G785" s="14">
        <f>F785/A1</f>
        <v>7.2258128602935973E-4</v>
      </c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8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9"/>
    </row>
    <row r="786" spans="1:117" x14ac:dyDescent="0.3">
      <c r="A786" s="12"/>
      <c r="B786" s="13"/>
      <c r="C786" s="13"/>
      <c r="D786" s="13"/>
      <c r="E786" s="13"/>
      <c r="F786" s="13"/>
      <c r="G786" s="1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20">
        <f>+$D785*CT784</f>
        <v>28.3</v>
      </c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21">
        <f>SUM(H786:DL786)</f>
        <v>28.3</v>
      </c>
    </row>
    <row r="787" spans="1:117" x14ac:dyDescent="0.3">
      <c r="A787" s="12"/>
      <c r="B787" s="13"/>
      <c r="C787" s="13"/>
      <c r="D787" s="13"/>
      <c r="E787" s="13"/>
      <c r="F787" s="13"/>
      <c r="G787" s="1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5">
        <v>1</v>
      </c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6">
        <f>SUM(H787:DL787)</f>
        <v>1</v>
      </c>
    </row>
    <row r="788" spans="1:117" x14ac:dyDescent="0.3">
      <c r="A788" s="17" t="s">
        <v>692</v>
      </c>
      <c r="B788" s="13" t="s">
        <v>693</v>
      </c>
      <c r="C788" s="13" t="s">
        <v>126</v>
      </c>
      <c r="D788" s="13">
        <v>4.95</v>
      </c>
      <c r="E788" s="13">
        <f>404646.8546*B2</f>
        <v>404646.85460000002</v>
      </c>
      <c r="F788" s="13">
        <f>D788*E788</f>
        <v>2003001.9302700001</v>
      </c>
      <c r="G788" s="14">
        <f>F788/A1</f>
        <v>2.5679892435451384E-5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8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9"/>
    </row>
    <row r="789" spans="1:117" x14ac:dyDescent="0.3">
      <c r="A789" s="12"/>
      <c r="B789" s="13"/>
      <c r="C789" s="13"/>
      <c r="D789" s="13"/>
      <c r="E789" s="13"/>
      <c r="F789" s="13"/>
      <c r="G789" s="1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20">
        <f>+$D788*CV787</f>
        <v>4.95</v>
      </c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21">
        <f>SUM(H789:DL789)</f>
        <v>4.95</v>
      </c>
    </row>
    <row r="790" spans="1:117" x14ac:dyDescent="0.3">
      <c r="A790" s="12"/>
      <c r="B790" s="13"/>
      <c r="C790" s="13"/>
      <c r="D790" s="13"/>
      <c r="E790" s="13"/>
      <c r="F790" s="13"/>
      <c r="G790" s="1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5">
        <v>1</v>
      </c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6">
        <f>SUM(H790:DL790)</f>
        <v>1</v>
      </c>
    </row>
    <row r="791" spans="1:117" x14ac:dyDescent="0.3">
      <c r="A791" s="17" t="s">
        <v>694</v>
      </c>
      <c r="B791" s="13" t="s">
        <v>695</v>
      </c>
      <c r="C791" s="13" t="s">
        <v>126</v>
      </c>
      <c r="D791" s="13">
        <v>35.6</v>
      </c>
      <c r="E791" s="13">
        <f>113881.6719*B2</f>
        <v>113881.6719</v>
      </c>
      <c r="F791" s="13">
        <f>D791*E791</f>
        <v>4054187.5196400001</v>
      </c>
      <c r="G791" s="14">
        <f>F791/A1</f>
        <v>5.1977533243550452E-5</v>
      </c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8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9"/>
    </row>
    <row r="792" spans="1:117" x14ac:dyDescent="0.3">
      <c r="A792" s="12"/>
      <c r="B792" s="13"/>
      <c r="C792" s="13"/>
      <c r="D792" s="13"/>
      <c r="E792" s="13"/>
      <c r="F792" s="13"/>
      <c r="G792" s="1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20">
        <f>+$D791*CT790</f>
        <v>35.6</v>
      </c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21">
        <f>SUM(H792:DL792)</f>
        <v>35.6</v>
      </c>
    </row>
    <row r="793" spans="1:117" x14ac:dyDescent="0.3">
      <c r="A793" s="12"/>
      <c r="B793" s="13"/>
      <c r="C793" s="13"/>
      <c r="D793" s="13"/>
      <c r="E793" s="13"/>
      <c r="F793" s="13"/>
      <c r="G793" s="1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5">
        <v>1</v>
      </c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6">
        <f>SUM(H793:DL793)</f>
        <v>1</v>
      </c>
    </row>
    <row r="794" spans="1:117" x14ac:dyDescent="0.3">
      <c r="A794" s="17" t="s">
        <v>696</v>
      </c>
      <c r="B794" s="13" t="s">
        <v>697</v>
      </c>
      <c r="C794" s="13" t="s">
        <v>280</v>
      </c>
      <c r="D794" s="13">
        <v>1</v>
      </c>
      <c r="E794" s="13">
        <f>2872530.5591*B2</f>
        <v>2872530.5591000002</v>
      </c>
      <c r="F794" s="13">
        <f>D794*E794</f>
        <v>2872530.5591000002</v>
      </c>
      <c r="G794" s="14">
        <f>F794/A1</f>
        <v>3.6827860552930922E-5</v>
      </c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8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9"/>
    </row>
    <row r="795" spans="1:117" x14ac:dyDescent="0.3">
      <c r="A795" s="12"/>
      <c r="B795" s="13"/>
      <c r="C795" s="13"/>
      <c r="D795" s="13"/>
      <c r="E795" s="13"/>
      <c r="F795" s="13"/>
      <c r="G795" s="1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20">
        <f>+$D794*CW793</f>
        <v>1</v>
      </c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21">
        <f>SUM(H795:DL795)</f>
        <v>1</v>
      </c>
    </row>
    <row r="796" spans="1:117" x14ac:dyDescent="0.3">
      <c r="A796" s="12"/>
      <c r="B796" s="13"/>
      <c r="C796" s="13"/>
      <c r="D796" s="13"/>
      <c r="E796" s="13"/>
      <c r="F796" s="13"/>
      <c r="G796" s="1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5">
        <v>1</v>
      </c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6">
        <f>SUM(H796:DL796)</f>
        <v>1</v>
      </c>
    </row>
    <row r="797" spans="1:117" x14ac:dyDescent="0.3">
      <c r="A797" s="17" t="s">
        <v>698</v>
      </c>
      <c r="B797" s="13" t="s">
        <v>699</v>
      </c>
      <c r="C797" s="13" t="s">
        <v>280</v>
      </c>
      <c r="D797" s="13">
        <v>1</v>
      </c>
      <c r="E797" s="13">
        <f>11951362.6535*B2</f>
        <v>11951362.6535</v>
      </c>
      <c r="F797" s="13">
        <f>D797*E797</f>
        <v>11951362.6535</v>
      </c>
      <c r="G797" s="14">
        <f>F797/A1</f>
        <v>1.5322486851402091E-4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8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9"/>
    </row>
    <row r="798" spans="1:117" x14ac:dyDescent="0.3">
      <c r="A798" s="12"/>
      <c r="B798" s="13"/>
      <c r="C798" s="13"/>
      <c r="D798" s="13"/>
      <c r="E798" s="13"/>
      <c r="F798" s="13"/>
      <c r="G798" s="1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20">
        <f>+$D797*CU796</f>
        <v>1</v>
      </c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21">
        <f>SUM(H798:DL798)</f>
        <v>1</v>
      </c>
    </row>
    <row r="799" spans="1:117" x14ac:dyDescent="0.3">
      <c r="A799" s="12"/>
      <c r="B799" s="13"/>
      <c r="C799" s="13"/>
      <c r="D799" s="13"/>
      <c r="E799" s="13"/>
      <c r="F799" s="13"/>
      <c r="G799" s="1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5">
        <v>0.7</v>
      </c>
      <c r="CV799" s="13"/>
      <c r="CW799" s="15">
        <v>0.3</v>
      </c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6">
        <f>SUM(H799:DL799)</f>
        <v>1</v>
      </c>
    </row>
    <row r="800" spans="1:117" x14ac:dyDescent="0.3">
      <c r="A800" s="17" t="s">
        <v>700</v>
      </c>
      <c r="B800" s="13" t="s">
        <v>701</v>
      </c>
      <c r="C800" s="13" t="s">
        <v>280</v>
      </c>
      <c r="D800" s="13">
        <v>2</v>
      </c>
      <c r="E800" s="13">
        <f>14078426.4121*B2</f>
        <v>14078426.4121</v>
      </c>
      <c r="F800" s="13">
        <f>D800*E800</f>
        <v>28156852.824200001</v>
      </c>
      <c r="G800" s="14">
        <f>F800/A1</f>
        <v>3.6099064155610875E-4</v>
      </c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8"/>
      <c r="CV800" s="13"/>
      <c r="CW800" s="18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9"/>
    </row>
    <row r="801" spans="1:117" x14ac:dyDescent="0.3">
      <c r="A801" s="12"/>
      <c r="B801" s="13"/>
      <c r="C801" s="13"/>
      <c r="D801" s="13"/>
      <c r="E801" s="13"/>
      <c r="F801" s="13"/>
      <c r="G801" s="1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20">
        <f>+$D800*CU799</f>
        <v>1.4</v>
      </c>
      <c r="CV801" s="13"/>
      <c r="CW801" s="20">
        <f>+$D800*CW799</f>
        <v>0.6</v>
      </c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21">
        <f>SUM(H801:DL801)</f>
        <v>2</v>
      </c>
    </row>
    <row r="802" spans="1:117" x14ac:dyDescent="0.3">
      <c r="A802" s="12"/>
      <c r="B802" s="13"/>
      <c r="C802" s="13"/>
      <c r="D802" s="13"/>
      <c r="E802" s="13"/>
      <c r="F802" s="13"/>
      <c r="G802" s="1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5">
        <v>1</v>
      </c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6">
        <f>SUM(H802:DL802)</f>
        <v>1</v>
      </c>
    </row>
    <row r="803" spans="1:117" x14ac:dyDescent="0.3">
      <c r="A803" s="17" t="s">
        <v>702</v>
      </c>
      <c r="B803" s="13" t="s">
        <v>703</v>
      </c>
      <c r="C803" s="13" t="s">
        <v>126</v>
      </c>
      <c r="D803" s="13">
        <v>10</v>
      </c>
      <c r="E803" s="13">
        <f>15534583.4907*B2</f>
        <v>15534583.490700001</v>
      </c>
      <c r="F803" s="13">
        <f>D803*E803</f>
        <v>155345834.90700001</v>
      </c>
      <c r="G803" s="14">
        <f>F803/A1</f>
        <v>1.9916427789809497E-3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8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9"/>
    </row>
    <row r="804" spans="1:117" x14ac:dyDescent="0.3">
      <c r="A804" s="12"/>
      <c r="B804" s="13"/>
      <c r="C804" s="13"/>
      <c r="D804" s="13"/>
      <c r="E804" s="13"/>
      <c r="F804" s="13"/>
      <c r="G804" s="1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20">
        <f>+$D803*CU802</f>
        <v>10</v>
      </c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21">
        <f>SUM(H804:DL804)</f>
        <v>10</v>
      </c>
    </row>
    <row r="805" spans="1:117" x14ac:dyDescent="0.3">
      <c r="A805" s="12"/>
      <c r="B805" s="13"/>
      <c r="C805" s="13"/>
      <c r="D805" s="13"/>
      <c r="E805" s="13"/>
      <c r="F805" s="13"/>
      <c r="G805" s="1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5">
        <v>0.16666700000000001</v>
      </c>
      <c r="CR805" s="15">
        <v>0.33333299999999999</v>
      </c>
      <c r="CS805" s="15">
        <v>0.33333299999999999</v>
      </c>
      <c r="CT805" s="15">
        <v>0.16666700000000001</v>
      </c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6">
        <f>SUM(H805:DL805)</f>
        <v>1</v>
      </c>
    </row>
    <row r="806" spans="1:117" x14ac:dyDescent="0.3">
      <c r="A806" s="17" t="s">
        <v>704</v>
      </c>
      <c r="B806" s="13" t="s">
        <v>705</v>
      </c>
      <c r="C806" s="13" t="s">
        <v>347</v>
      </c>
      <c r="D806" s="13">
        <v>103.64</v>
      </c>
      <c r="E806" s="13">
        <f>1235654.0934*B2</f>
        <v>1235654.0933999999</v>
      </c>
      <c r="F806" s="13">
        <f>D806*E806</f>
        <v>128063190.23997599</v>
      </c>
      <c r="G806" s="14">
        <f>F806/A1</f>
        <v>1.6418601003844408E-3</v>
      </c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8"/>
      <c r="CR806" s="18"/>
      <c r="CS806" s="18"/>
      <c r="CT806" s="18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9"/>
    </row>
    <row r="807" spans="1:117" x14ac:dyDescent="0.3">
      <c r="A807" s="12"/>
      <c r="B807" s="13"/>
      <c r="C807" s="13"/>
      <c r="D807" s="13"/>
      <c r="E807" s="13"/>
      <c r="F807" s="13"/>
      <c r="G807" s="1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20">
        <f>+$D806*CQ805</f>
        <v>17.273367880000002</v>
      </c>
      <c r="CR807" s="20">
        <f>+$D806*CR805</f>
        <v>34.546632119999998</v>
      </c>
      <c r="CS807" s="20">
        <f>+$D806*CS805</f>
        <v>34.546632119999998</v>
      </c>
      <c r="CT807" s="20">
        <f>+$D806*CT805</f>
        <v>17.273367880000002</v>
      </c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21">
        <f>SUM(H807:DL807)</f>
        <v>103.63999999999999</v>
      </c>
    </row>
    <row r="808" spans="1:117" x14ac:dyDescent="0.3">
      <c r="A808" s="12"/>
      <c r="B808" s="13"/>
      <c r="C808" s="13"/>
      <c r="D808" s="13"/>
      <c r="E808" s="13"/>
      <c r="F808" s="13"/>
      <c r="G808" s="1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5">
        <v>1</v>
      </c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6">
        <f>SUM(H808:DL808)</f>
        <v>1</v>
      </c>
    </row>
    <row r="809" spans="1:117" x14ac:dyDescent="0.3">
      <c r="A809" s="17" t="s">
        <v>706</v>
      </c>
      <c r="B809" s="13" t="s">
        <v>707</v>
      </c>
      <c r="C809" s="13" t="s">
        <v>347</v>
      </c>
      <c r="D809" s="13">
        <v>5.15</v>
      </c>
      <c r="E809" s="13">
        <f>2511917.6388*B2</f>
        <v>2511917.6387999998</v>
      </c>
      <c r="F809" s="13">
        <f>D809*E809</f>
        <v>12936375.839819999</v>
      </c>
      <c r="G809" s="14">
        <f>F809/A1</f>
        <v>1.6585342981989499E-4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8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9"/>
    </row>
    <row r="810" spans="1:117" x14ac:dyDescent="0.3">
      <c r="A810" s="12"/>
      <c r="B810" s="13"/>
      <c r="C810" s="13"/>
      <c r="D810" s="13"/>
      <c r="E810" s="13"/>
      <c r="F810" s="13"/>
      <c r="G810" s="1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20">
        <f>+$D809*CU808</f>
        <v>5.15</v>
      </c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21">
        <f>SUM(H810:DL810)</f>
        <v>5.15</v>
      </c>
    </row>
    <row r="811" spans="1:117" x14ac:dyDescent="0.3">
      <c r="A811" s="8" t="s">
        <v>708</v>
      </c>
      <c r="B811" s="9" t="s">
        <v>709</v>
      </c>
      <c r="C811" s="9"/>
      <c r="D811" s="9"/>
      <c r="E811" s="9"/>
      <c r="F811" s="9"/>
      <c r="G811" s="1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11"/>
    </row>
    <row r="812" spans="1:117" x14ac:dyDescent="0.3">
      <c r="A812" s="12"/>
      <c r="B812" s="13"/>
      <c r="C812" s="13"/>
      <c r="D812" s="13"/>
      <c r="E812" s="13"/>
      <c r="F812" s="13"/>
      <c r="G812" s="1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5">
        <v>1</v>
      </c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6">
        <f>SUM(H812:DL812)</f>
        <v>1</v>
      </c>
    </row>
    <row r="813" spans="1:117" x14ac:dyDescent="0.3">
      <c r="A813" s="17" t="s">
        <v>710</v>
      </c>
      <c r="B813" s="13" t="s">
        <v>711</v>
      </c>
      <c r="C813" s="13" t="s">
        <v>277</v>
      </c>
      <c r="D813" s="13">
        <v>100000</v>
      </c>
      <c r="E813" s="13">
        <f>3072.3749*B2</f>
        <v>3072.3748999999998</v>
      </c>
      <c r="F813" s="13">
        <f>D813*E813</f>
        <v>307237490</v>
      </c>
      <c r="G813" s="14">
        <f>F813/A1</f>
        <v>3.9390005451839681E-3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8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9"/>
    </row>
    <row r="814" spans="1:117" x14ac:dyDescent="0.3">
      <c r="A814" s="12"/>
      <c r="B814" s="13"/>
      <c r="C814" s="13"/>
      <c r="D814" s="13"/>
      <c r="E814" s="13"/>
      <c r="F814" s="13"/>
      <c r="G814" s="1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20">
        <f>+$D813*BF812</f>
        <v>100000</v>
      </c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21">
        <f>SUM(H814:DL814)</f>
        <v>100000</v>
      </c>
    </row>
    <row r="815" spans="1:117" x14ac:dyDescent="0.3">
      <c r="A815" s="12"/>
      <c r="B815" s="13"/>
      <c r="C815" s="13"/>
      <c r="D815" s="13"/>
      <c r="E815" s="13"/>
      <c r="F815" s="13"/>
      <c r="G815" s="1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5">
        <v>1</v>
      </c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6">
        <f>SUM(H815:DL815)</f>
        <v>1</v>
      </c>
    </row>
    <row r="816" spans="1:117" x14ac:dyDescent="0.3">
      <c r="A816" s="17" t="s">
        <v>712</v>
      </c>
      <c r="B816" s="13" t="s">
        <v>713</v>
      </c>
      <c r="C816" s="13" t="s">
        <v>319</v>
      </c>
      <c r="D816" s="13">
        <v>1</v>
      </c>
      <c r="E816" s="13">
        <f>98219889.7906*B2</f>
        <v>98219889.790600002</v>
      </c>
      <c r="F816" s="13">
        <f>D816*E816</f>
        <v>98219889.790600002</v>
      </c>
      <c r="G816" s="14">
        <f>F816/A1</f>
        <v>1.2592480150553328E-3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8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9"/>
    </row>
    <row r="817" spans="1:117" x14ac:dyDescent="0.3">
      <c r="A817" s="12"/>
      <c r="B817" s="13"/>
      <c r="C817" s="13"/>
      <c r="D817" s="13"/>
      <c r="E817" s="13"/>
      <c r="F817" s="13"/>
      <c r="G817" s="1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20">
        <f>+$D816*BF815</f>
        <v>1</v>
      </c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21">
        <f>SUM(H817:DL817)</f>
        <v>1</v>
      </c>
    </row>
    <row r="818" spans="1:117" x14ac:dyDescent="0.3">
      <c r="A818" s="8" t="s">
        <v>714</v>
      </c>
      <c r="B818" s="9" t="s">
        <v>715</v>
      </c>
      <c r="C818" s="9"/>
      <c r="D818" s="9"/>
      <c r="E818" s="9"/>
      <c r="F818" s="9"/>
      <c r="G818" s="1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11"/>
    </row>
    <row r="819" spans="1:117" x14ac:dyDescent="0.3">
      <c r="A819" s="12"/>
      <c r="B819" s="13"/>
      <c r="C819" s="13"/>
      <c r="D819" s="13"/>
      <c r="E819" s="13"/>
      <c r="F819" s="13"/>
      <c r="G819" s="1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5">
        <v>1</v>
      </c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6">
        <f>SUM(H819:DL819)</f>
        <v>1</v>
      </c>
    </row>
    <row r="820" spans="1:117" x14ac:dyDescent="0.3">
      <c r="A820" s="17" t="s">
        <v>716</v>
      </c>
      <c r="B820" s="13" t="s">
        <v>717</v>
      </c>
      <c r="C820" s="13" t="s">
        <v>135</v>
      </c>
      <c r="D820" s="13">
        <v>1079.8599999999999</v>
      </c>
      <c r="E820" s="13">
        <f>19958.6983*B2</f>
        <v>19958.6983</v>
      </c>
      <c r="F820" s="13">
        <f>D820*E820</f>
        <v>21552599.946237996</v>
      </c>
      <c r="G820" s="14">
        <f>F820/A1</f>
        <v>2.7631947825886553E-4</v>
      </c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8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9"/>
    </row>
    <row r="821" spans="1:117" x14ac:dyDescent="0.3">
      <c r="A821" s="12"/>
      <c r="B821" s="13"/>
      <c r="C821" s="13"/>
      <c r="D821" s="13"/>
      <c r="E821" s="13"/>
      <c r="F821" s="13"/>
      <c r="G821" s="1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20">
        <f>+$D820*CL819</f>
        <v>1079.8599999999999</v>
      </c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21">
        <f>SUM(H821:DL821)</f>
        <v>1079.8599999999999</v>
      </c>
    </row>
    <row r="822" spans="1:117" x14ac:dyDescent="0.3">
      <c r="A822" s="12"/>
      <c r="B822" s="13"/>
      <c r="C822" s="13"/>
      <c r="D822" s="13"/>
      <c r="E822" s="13"/>
      <c r="F822" s="13"/>
      <c r="G822" s="1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5">
        <v>0.40968100000000002</v>
      </c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5">
        <v>0.59031900000000004</v>
      </c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6">
        <f>SUM(H822:DL822)</f>
        <v>1</v>
      </c>
    </row>
    <row r="823" spans="1:117" x14ac:dyDescent="0.3">
      <c r="A823" s="17" t="s">
        <v>718</v>
      </c>
      <c r="B823" s="13" t="s">
        <v>719</v>
      </c>
      <c r="C823" s="13" t="s">
        <v>135</v>
      </c>
      <c r="D823" s="13">
        <v>1440</v>
      </c>
      <c r="E823" s="13">
        <f>20164.0163*B2</f>
        <v>20164.016299999999</v>
      </c>
      <c r="F823" s="13">
        <f>D823*E823</f>
        <v>29036183.471999999</v>
      </c>
      <c r="G823" s="14">
        <f>F823/A1</f>
        <v>3.7226427844554291E-4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8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8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9"/>
    </row>
    <row r="824" spans="1:117" x14ac:dyDescent="0.3">
      <c r="A824" s="12"/>
      <c r="B824" s="13"/>
      <c r="C824" s="13"/>
      <c r="D824" s="13"/>
      <c r="E824" s="13"/>
      <c r="F824" s="13"/>
      <c r="G824" s="1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20">
        <f>+$D823*BF822</f>
        <v>589.94064000000003</v>
      </c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20">
        <f>+$D823*CL822</f>
        <v>850.05936000000008</v>
      </c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21">
        <f>SUM(H824:DL824)</f>
        <v>1440</v>
      </c>
    </row>
    <row r="825" spans="1:117" x14ac:dyDescent="0.3">
      <c r="A825" s="12"/>
      <c r="B825" s="13"/>
      <c r="C825" s="13"/>
      <c r="D825" s="13"/>
      <c r="E825" s="13"/>
      <c r="F825" s="13"/>
      <c r="G825" s="1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5">
        <v>1</v>
      </c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6">
        <f>SUM(H825:DL825)</f>
        <v>1</v>
      </c>
    </row>
    <row r="826" spans="1:117" x14ac:dyDescent="0.3">
      <c r="A826" s="17" t="s">
        <v>720</v>
      </c>
      <c r="B826" s="13" t="s">
        <v>721</v>
      </c>
      <c r="C826" s="13" t="s">
        <v>135</v>
      </c>
      <c r="D826" s="13">
        <v>31.4</v>
      </c>
      <c r="E826" s="13">
        <f>409536.3403*B2</f>
        <v>409536.34029999998</v>
      </c>
      <c r="F826" s="13">
        <f>D826*E826</f>
        <v>12859441.085419999</v>
      </c>
      <c r="G826" s="14">
        <f>F826/A1</f>
        <v>1.6486707219952386E-4</v>
      </c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8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9"/>
    </row>
    <row r="827" spans="1:117" x14ac:dyDescent="0.3">
      <c r="A827" s="12"/>
      <c r="B827" s="13"/>
      <c r="C827" s="13"/>
      <c r="D827" s="13"/>
      <c r="E827" s="13"/>
      <c r="F827" s="13"/>
      <c r="G827" s="1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20">
        <f>+$D826*CL825</f>
        <v>31.4</v>
      </c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21">
        <f>SUM(H827:DL827)</f>
        <v>31.4</v>
      </c>
    </row>
    <row r="828" spans="1:117" x14ac:dyDescent="0.3">
      <c r="A828" s="12"/>
      <c r="B828" s="13"/>
      <c r="C828" s="13"/>
      <c r="D828" s="13"/>
      <c r="E828" s="13"/>
      <c r="F828" s="13"/>
      <c r="G828" s="1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5">
        <v>0.25</v>
      </c>
      <c r="CN828" s="15">
        <v>0.25</v>
      </c>
      <c r="CO828" s="15">
        <v>0.25</v>
      </c>
      <c r="CP828" s="15">
        <v>0.25</v>
      </c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6">
        <f>SUM(H828:DL828)</f>
        <v>1</v>
      </c>
    </row>
    <row r="829" spans="1:117" x14ac:dyDescent="0.3">
      <c r="A829" s="17" t="s">
        <v>722</v>
      </c>
      <c r="B829" s="13" t="s">
        <v>723</v>
      </c>
      <c r="C829" s="13" t="s">
        <v>135</v>
      </c>
      <c r="D829" s="13">
        <v>151.86000000000001</v>
      </c>
      <c r="E829" s="13">
        <f>1864938.7272*B2</f>
        <v>1864938.7272000001</v>
      </c>
      <c r="F829" s="13">
        <f>D829*E829</f>
        <v>283209595.11259204</v>
      </c>
      <c r="G829" s="14">
        <f>F829/A1</f>
        <v>3.6309460461671876E-3</v>
      </c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8"/>
      <c r="CN829" s="18"/>
      <c r="CO829" s="18"/>
      <c r="CP829" s="18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9"/>
    </row>
    <row r="830" spans="1:117" x14ac:dyDescent="0.3">
      <c r="A830" s="12"/>
      <c r="B830" s="13"/>
      <c r="C830" s="13"/>
      <c r="D830" s="13"/>
      <c r="E830" s="13"/>
      <c r="F830" s="13"/>
      <c r="G830" s="1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20">
        <f>+$D829*CM828</f>
        <v>37.965000000000003</v>
      </c>
      <c r="CN830" s="20">
        <f>+$D829*CN828</f>
        <v>37.965000000000003</v>
      </c>
      <c r="CO830" s="20">
        <f>+$D829*CO828</f>
        <v>37.965000000000003</v>
      </c>
      <c r="CP830" s="20">
        <f>+$D829*CP828</f>
        <v>37.965000000000003</v>
      </c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21">
        <f>SUM(H830:DL830)</f>
        <v>151.86000000000001</v>
      </c>
    </row>
    <row r="831" spans="1:117" x14ac:dyDescent="0.3">
      <c r="A831" s="12"/>
      <c r="B831" s="13"/>
      <c r="C831" s="13"/>
      <c r="D831" s="13"/>
      <c r="E831" s="13"/>
      <c r="F831" s="13"/>
      <c r="G831" s="1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5">
        <v>0.25</v>
      </c>
      <c r="CO831" s="15">
        <v>0.25</v>
      </c>
      <c r="CP831" s="15">
        <v>0.25</v>
      </c>
      <c r="CQ831" s="15">
        <v>0.25</v>
      </c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6">
        <f>SUM(H831:DL831)</f>
        <v>1</v>
      </c>
    </row>
    <row r="832" spans="1:117" x14ac:dyDescent="0.3">
      <c r="A832" s="17" t="s">
        <v>724</v>
      </c>
      <c r="B832" s="13" t="s">
        <v>725</v>
      </c>
      <c r="C832" s="13" t="s">
        <v>277</v>
      </c>
      <c r="D832" s="13">
        <v>400.37</v>
      </c>
      <c r="E832" s="13">
        <f>24796.4923*B2</f>
        <v>24796.492300000002</v>
      </c>
      <c r="F832" s="13">
        <f>D832*E832</f>
        <v>9927771.6221510004</v>
      </c>
      <c r="G832" s="14">
        <f>F832/A1</f>
        <v>1.2728100933292585E-4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8"/>
      <c r="CO832" s="18"/>
      <c r="CP832" s="18"/>
      <c r="CQ832" s="18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9"/>
    </row>
    <row r="833" spans="1:117" x14ac:dyDescent="0.3">
      <c r="A833" s="12"/>
      <c r="B833" s="13"/>
      <c r="C833" s="13"/>
      <c r="D833" s="13"/>
      <c r="E833" s="13"/>
      <c r="F833" s="13"/>
      <c r="G833" s="1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20">
        <f>+$D832*CN831</f>
        <v>100.0925</v>
      </c>
      <c r="CO833" s="20">
        <f>+$D832*CO831</f>
        <v>100.0925</v>
      </c>
      <c r="CP833" s="20">
        <f>+$D832*CP831</f>
        <v>100.0925</v>
      </c>
      <c r="CQ833" s="20">
        <f>+$D832*CQ831</f>
        <v>100.0925</v>
      </c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21">
        <f>SUM(H833:DL833)</f>
        <v>400.37</v>
      </c>
    </row>
    <row r="834" spans="1:117" x14ac:dyDescent="0.3">
      <c r="A834" s="12"/>
      <c r="B834" s="13"/>
      <c r="C834" s="13"/>
      <c r="D834" s="13"/>
      <c r="E834" s="13"/>
      <c r="F834" s="13"/>
      <c r="G834" s="1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5">
        <v>1</v>
      </c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6">
        <f>SUM(H834:DL834)</f>
        <v>1</v>
      </c>
    </row>
    <row r="835" spans="1:117" x14ac:dyDescent="0.3">
      <c r="A835" s="17" t="s">
        <v>726</v>
      </c>
      <c r="B835" s="13" t="s">
        <v>727</v>
      </c>
      <c r="C835" s="13" t="s">
        <v>728</v>
      </c>
      <c r="D835" s="13">
        <v>1</v>
      </c>
      <c r="E835" s="13">
        <f>6765128.8398*B2</f>
        <v>6765128.8398000002</v>
      </c>
      <c r="F835" s="13">
        <f>D835*E835</f>
        <v>6765128.8398000002</v>
      </c>
      <c r="G835" s="14">
        <f>F835/A1</f>
        <v>8.6733706189996492E-5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8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9"/>
    </row>
    <row r="836" spans="1:117" x14ac:dyDescent="0.3">
      <c r="A836" s="12"/>
      <c r="B836" s="13"/>
      <c r="C836" s="13"/>
      <c r="D836" s="13"/>
      <c r="E836" s="13"/>
      <c r="F836" s="13"/>
      <c r="G836" s="1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20">
        <f>+$D835*CQ834</f>
        <v>1</v>
      </c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21">
        <f>SUM(H836:DL836)</f>
        <v>1</v>
      </c>
    </row>
    <row r="837" spans="1:117" x14ac:dyDescent="0.3">
      <c r="A837" s="8" t="s">
        <v>729</v>
      </c>
      <c r="B837" s="9" t="s">
        <v>730</v>
      </c>
      <c r="C837" s="9"/>
      <c r="D837" s="9"/>
      <c r="E837" s="9"/>
      <c r="F837" s="9"/>
      <c r="G837" s="1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11"/>
    </row>
    <row r="838" spans="1:117" x14ac:dyDescent="0.3">
      <c r="A838" s="12"/>
      <c r="B838" s="13"/>
      <c r="C838" s="13"/>
      <c r="D838" s="13"/>
      <c r="E838" s="13"/>
      <c r="F838" s="13"/>
      <c r="G838" s="1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5">
        <v>1</v>
      </c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6">
        <f>SUM(H838:DL838)</f>
        <v>1</v>
      </c>
    </row>
    <row r="839" spans="1:117" x14ac:dyDescent="0.3">
      <c r="A839" s="17" t="s">
        <v>731</v>
      </c>
      <c r="B839" s="13" t="s">
        <v>732</v>
      </c>
      <c r="C839" s="13" t="s">
        <v>135</v>
      </c>
      <c r="D839" s="13">
        <v>5980.04</v>
      </c>
      <c r="E839" s="13">
        <f>13149.5578*B2</f>
        <v>13149.5578</v>
      </c>
      <c r="F839" s="13">
        <f>D839*E839</f>
        <v>78634881.626312003</v>
      </c>
      <c r="G839" s="14">
        <f>F839/A1</f>
        <v>1.0081544462445639E-3</v>
      </c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8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9"/>
    </row>
    <row r="840" spans="1:117" x14ac:dyDescent="0.3">
      <c r="A840" s="12"/>
      <c r="B840" s="13"/>
      <c r="C840" s="13"/>
      <c r="D840" s="13"/>
      <c r="E840" s="13"/>
      <c r="F840" s="13"/>
      <c r="G840" s="1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20">
        <f>+$D839*BF838</f>
        <v>5980.04</v>
      </c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21">
        <f>SUM(H840:DL840)</f>
        <v>5980.04</v>
      </c>
    </row>
    <row r="841" spans="1:117" x14ac:dyDescent="0.3">
      <c r="A841" s="12"/>
      <c r="B841" s="13"/>
      <c r="C841" s="13"/>
      <c r="D841" s="13"/>
      <c r="E841" s="13"/>
      <c r="F841" s="13"/>
      <c r="G841" s="1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5">
        <v>1</v>
      </c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6">
        <f>SUM(H841:DL841)</f>
        <v>1</v>
      </c>
    </row>
    <row r="842" spans="1:117" x14ac:dyDescent="0.3">
      <c r="A842" s="17" t="s">
        <v>733</v>
      </c>
      <c r="B842" s="13" t="s">
        <v>734</v>
      </c>
      <c r="C842" s="13" t="s">
        <v>135</v>
      </c>
      <c r="D842" s="13">
        <v>231.74</v>
      </c>
      <c r="E842" s="13">
        <f>409467.8403*B2</f>
        <v>409467.84029999998</v>
      </c>
      <c r="F842" s="13">
        <f>D842*E842</f>
        <v>94890077.311122</v>
      </c>
      <c r="G842" s="14">
        <f>F842/A1</f>
        <v>1.2165574789100718E-3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8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9"/>
    </row>
    <row r="843" spans="1:117" x14ac:dyDescent="0.3">
      <c r="A843" s="12"/>
      <c r="B843" s="13"/>
      <c r="C843" s="13"/>
      <c r="D843" s="13"/>
      <c r="E843" s="13"/>
      <c r="F843" s="13"/>
      <c r="G843" s="1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20">
        <f>+$D842*BF841</f>
        <v>231.74</v>
      </c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21">
        <f>SUM(H843:DL843)</f>
        <v>231.74</v>
      </c>
    </row>
    <row r="844" spans="1:117" x14ac:dyDescent="0.3">
      <c r="A844" s="12"/>
      <c r="B844" s="13"/>
      <c r="C844" s="13"/>
      <c r="D844" s="13"/>
      <c r="E844" s="13"/>
      <c r="F844" s="13"/>
      <c r="G844" s="1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5">
        <v>0.71321500000000004</v>
      </c>
      <c r="BG844" s="15">
        <v>3.8419000000000002E-2</v>
      </c>
      <c r="BH844" s="15">
        <v>3.8419000000000002E-2</v>
      </c>
      <c r="BI844" s="15">
        <v>4.8529999999999997E-3</v>
      </c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5">
        <v>2.9799999999999998E-4</v>
      </c>
      <c r="CH844" s="15">
        <v>5.934E-3</v>
      </c>
      <c r="CI844" s="15">
        <v>3.908E-3</v>
      </c>
      <c r="CJ844" s="15">
        <v>8.3909999999999992E-3</v>
      </c>
      <c r="CK844" s="15">
        <v>7.2129999999999998E-3</v>
      </c>
      <c r="CL844" s="15">
        <v>1.4426E-2</v>
      </c>
      <c r="CM844" s="15">
        <v>1.4426E-2</v>
      </c>
      <c r="CN844" s="15">
        <v>1.4426E-2</v>
      </c>
      <c r="CO844" s="15">
        <v>1.4426E-2</v>
      </c>
      <c r="CP844" s="15">
        <v>1.4426E-2</v>
      </c>
      <c r="CQ844" s="15">
        <v>1.4426E-2</v>
      </c>
      <c r="CR844" s="15">
        <v>1.4426E-2</v>
      </c>
      <c r="CS844" s="15">
        <v>1.4426E-2</v>
      </c>
      <c r="CT844" s="15">
        <v>1.4426E-2</v>
      </c>
      <c r="CU844" s="15">
        <v>1.4426E-2</v>
      </c>
      <c r="CV844" s="15">
        <v>1.4426E-2</v>
      </c>
      <c r="CW844" s="15">
        <v>1.4426E-2</v>
      </c>
      <c r="CX844" s="15">
        <v>6.2379999999999996E-3</v>
      </c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6">
        <f>SUM(H844:DL844)</f>
        <v>1.0000000000000007</v>
      </c>
    </row>
    <row r="845" spans="1:117" x14ac:dyDescent="0.3">
      <c r="A845" s="17" t="s">
        <v>735</v>
      </c>
      <c r="B845" s="13" t="s">
        <v>736</v>
      </c>
      <c r="C845" s="13" t="s">
        <v>135</v>
      </c>
      <c r="D845" s="13">
        <v>2079.5700000000002</v>
      </c>
      <c r="E845" s="13">
        <f>1010143.5868*B2</f>
        <v>1010143.5868</v>
      </c>
      <c r="F845" s="13">
        <f>D845*E845</f>
        <v>2100664298.8016763</v>
      </c>
      <c r="G845" s="14">
        <f>F845/A1</f>
        <v>2.6931992636147043E-2</v>
      </c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8"/>
      <c r="BG845" s="18"/>
      <c r="BH845" s="18"/>
      <c r="BI845" s="18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9"/>
    </row>
    <row r="846" spans="1:117" x14ac:dyDescent="0.3">
      <c r="A846" s="12"/>
      <c r="B846" s="13"/>
      <c r="C846" s="13"/>
      <c r="D846" s="13"/>
      <c r="E846" s="13"/>
      <c r="F846" s="13"/>
      <c r="G846" s="1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20">
        <f>+$D845*BF844</f>
        <v>1483.1805175500001</v>
      </c>
      <c r="BG846" s="20">
        <f>+$D845*BG844</f>
        <v>79.894999830000003</v>
      </c>
      <c r="BH846" s="20">
        <f>+$D845*BH844</f>
        <v>79.894999830000003</v>
      </c>
      <c r="BI846" s="20">
        <f>+$D845*BI844</f>
        <v>10.092153209999999</v>
      </c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20">
        <f t="shared" ref="CG846:CX846" si="26">+$D845*CG844</f>
        <v>0.61971186</v>
      </c>
      <c r="CH846" s="20">
        <f t="shared" si="26"/>
        <v>12.340168380000001</v>
      </c>
      <c r="CI846" s="20">
        <f t="shared" si="26"/>
        <v>8.1269595600000013</v>
      </c>
      <c r="CJ846" s="20">
        <f t="shared" si="26"/>
        <v>17.44967187</v>
      </c>
      <c r="CK846" s="20">
        <f t="shared" si="26"/>
        <v>14.99993841</v>
      </c>
      <c r="CL846" s="20">
        <f t="shared" si="26"/>
        <v>29.999876820000001</v>
      </c>
      <c r="CM846" s="20">
        <f t="shared" si="26"/>
        <v>29.999876820000001</v>
      </c>
      <c r="CN846" s="20">
        <f t="shared" si="26"/>
        <v>29.999876820000001</v>
      </c>
      <c r="CO846" s="20">
        <f t="shared" si="26"/>
        <v>29.999876820000001</v>
      </c>
      <c r="CP846" s="20">
        <f t="shared" si="26"/>
        <v>29.999876820000001</v>
      </c>
      <c r="CQ846" s="20">
        <f t="shared" si="26"/>
        <v>29.999876820000001</v>
      </c>
      <c r="CR846" s="20">
        <f t="shared" si="26"/>
        <v>29.999876820000001</v>
      </c>
      <c r="CS846" s="20">
        <f t="shared" si="26"/>
        <v>29.999876820000001</v>
      </c>
      <c r="CT846" s="20">
        <f t="shared" si="26"/>
        <v>29.999876820000001</v>
      </c>
      <c r="CU846" s="20">
        <f t="shared" si="26"/>
        <v>29.999876820000001</v>
      </c>
      <c r="CV846" s="20">
        <f t="shared" si="26"/>
        <v>29.999876820000001</v>
      </c>
      <c r="CW846" s="20">
        <f t="shared" si="26"/>
        <v>29.999876820000001</v>
      </c>
      <c r="CX846" s="20">
        <f t="shared" si="26"/>
        <v>12.97235766</v>
      </c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21">
        <f>SUM(H846:DL846)</f>
        <v>2079.5700000000006</v>
      </c>
    </row>
    <row r="847" spans="1:117" x14ac:dyDescent="0.3">
      <c r="A847" s="12"/>
      <c r="B847" s="13"/>
      <c r="C847" s="13"/>
      <c r="D847" s="13"/>
      <c r="E847" s="13"/>
      <c r="F847" s="13"/>
      <c r="G847" s="1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5">
        <v>3.0009000000000001E-2</v>
      </c>
      <c r="CG847" s="15">
        <v>0.12803600000000001</v>
      </c>
      <c r="CH847" s="15">
        <v>0.10568</v>
      </c>
      <c r="CI847" s="15">
        <v>0.18965399999999999</v>
      </c>
      <c r="CJ847" s="15">
        <v>0.100095</v>
      </c>
      <c r="CK847" s="13"/>
      <c r="CL847" s="15">
        <v>3.4347999999999997E-2</v>
      </c>
      <c r="CM847" s="15">
        <v>3.4347999999999997E-2</v>
      </c>
      <c r="CN847" s="15">
        <v>3.4347999999999997E-2</v>
      </c>
      <c r="CO847" s="15">
        <v>3.4347999999999997E-2</v>
      </c>
      <c r="CP847" s="15">
        <v>3.4347999999999997E-2</v>
      </c>
      <c r="CQ847" s="15">
        <v>3.4347999999999997E-2</v>
      </c>
      <c r="CR847" s="15">
        <v>3.4347999999999997E-2</v>
      </c>
      <c r="CS847" s="15">
        <v>3.4347999999999997E-2</v>
      </c>
      <c r="CT847" s="15">
        <v>3.4347999999999997E-2</v>
      </c>
      <c r="CU847" s="15">
        <v>3.4347999999999997E-2</v>
      </c>
      <c r="CV847" s="15">
        <v>3.4347999999999997E-2</v>
      </c>
      <c r="CW847" s="15">
        <v>3.4347999999999997E-2</v>
      </c>
      <c r="CX847" s="15">
        <v>3.4349999999999999E-2</v>
      </c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6">
        <f>SUM(H847:DL847)</f>
        <v>1.0000000000000007</v>
      </c>
    </row>
    <row r="848" spans="1:117" x14ac:dyDescent="0.3">
      <c r="A848" s="17" t="s">
        <v>737</v>
      </c>
      <c r="B848" s="13" t="s">
        <v>738</v>
      </c>
      <c r="C848" s="13" t="s">
        <v>277</v>
      </c>
      <c r="D848" s="13">
        <v>5998.3</v>
      </c>
      <c r="E848" s="13">
        <f>24796.3473*B2</f>
        <v>24796.347300000001</v>
      </c>
      <c r="F848" s="13">
        <f>D848*E848</f>
        <v>148735930.00959</v>
      </c>
      <c r="G848" s="14">
        <f>F848/A1</f>
        <v>1.9068991528222012E-3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8"/>
      <c r="CG848" s="18"/>
      <c r="CH848" s="18"/>
      <c r="CI848" s="18"/>
      <c r="CJ848" s="18"/>
      <c r="CK848" s="13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9"/>
    </row>
    <row r="849" spans="1:117" x14ac:dyDescent="0.3">
      <c r="A849" s="12"/>
      <c r="B849" s="13"/>
      <c r="C849" s="13"/>
      <c r="D849" s="13"/>
      <c r="E849" s="13"/>
      <c r="F849" s="13"/>
      <c r="G849" s="1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20">
        <f>+$D848*CF847</f>
        <v>180.00298470000001</v>
      </c>
      <c r="CG849" s="20">
        <f>+$D848*CG847</f>
        <v>767.99833880000006</v>
      </c>
      <c r="CH849" s="20">
        <f>+$D848*CH847</f>
        <v>633.90034400000002</v>
      </c>
      <c r="CI849" s="20">
        <f>+$D848*CI847</f>
        <v>1137.6015881999999</v>
      </c>
      <c r="CJ849" s="20">
        <f>+$D848*CJ847</f>
        <v>600.39983849999999</v>
      </c>
      <c r="CK849" s="13"/>
      <c r="CL849" s="20">
        <f t="shared" ref="CL849:CX849" si="27">+$D848*CL847</f>
        <v>206.02960839999997</v>
      </c>
      <c r="CM849" s="20">
        <f t="shared" si="27"/>
        <v>206.02960839999997</v>
      </c>
      <c r="CN849" s="20">
        <f t="shared" si="27"/>
        <v>206.02960839999997</v>
      </c>
      <c r="CO849" s="20">
        <f t="shared" si="27"/>
        <v>206.02960839999997</v>
      </c>
      <c r="CP849" s="20">
        <f t="shared" si="27"/>
        <v>206.02960839999997</v>
      </c>
      <c r="CQ849" s="20">
        <f t="shared" si="27"/>
        <v>206.02960839999997</v>
      </c>
      <c r="CR849" s="20">
        <f t="shared" si="27"/>
        <v>206.02960839999997</v>
      </c>
      <c r="CS849" s="20">
        <f t="shared" si="27"/>
        <v>206.02960839999997</v>
      </c>
      <c r="CT849" s="20">
        <f t="shared" si="27"/>
        <v>206.02960839999997</v>
      </c>
      <c r="CU849" s="20">
        <f t="shared" si="27"/>
        <v>206.02960839999997</v>
      </c>
      <c r="CV849" s="20">
        <f t="shared" si="27"/>
        <v>206.02960839999997</v>
      </c>
      <c r="CW849" s="20">
        <f t="shared" si="27"/>
        <v>206.02960839999997</v>
      </c>
      <c r="CX849" s="20">
        <f t="shared" si="27"/>
        <v>206.041605</v>
      </c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21">
        <f>SUM(H849:DL849)</f>
        <v>5998.300000000002</v>
      </c>
    </row>
    <row r="850" spans="1:117" x14ac:dyDescent="0.3">
      <c r="A850" s="12"/>
      <c r="B850" s="13"/>
      <c r="C850" s="13"/>
      <c r="D850" s="13"/>
      <c r="E850" s="13"/>
      <c r="F850" s="13"/>
      <c r="G850" s="1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5">
        <v>0.33333299999999999</v>
      </c>
      <c r="CR850" s="15">
        <v>0.33333299999999999</v>
      </c>
      <c r="CS850" s="15">
        <v>0.33333400000000002</v>
      </c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6">
        <f>SUM(H850:DL850)</f>
        <v>1</v>
      </c>
    </row>
    <row r="851" spans="1:117" x14ac:dyDescent="0.3">
      <c r="A851" s="17" t="s">
        <v>739</v>
      </c>
      <c r="B851" s="13" t="s">
        <v>740</v>
      </c>
      <c r="C851" s="13" t="s">
        <v>135</v>
      </c>
      <c r="D851" s="13">
        <v>1538.88</v>
      </c>
      <c r="E851" s="13">
        <f>1402190.2819*B2</f>
        <v>1402190.2819000001</v>
      </c>
      <c r="F851" s="13">
        <f>D851*E851</f>
        <v>2157802581.010272</v>
      </c>
      <c r="G851" s="14">
        <f>F851/A1</f>
        <v>2.766454557026499E-2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8"/>
      <c r="CR851" s="18"/>
      <c r="CS851" s="18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9"/>
    </row>
    <row r="852" spans="1:117" x14ac:dyDescent="0.3">
      <c r="A852" s="12"/>
      <c r="B852" s="13"/>
      <c r="C852" s="13"/>
      <c r="D852" s="13"/>
      <c r="E852" s="13"/>
      <c r="F852" s="13"/>
      <c r="G852" s="1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20">
        <f>+$D851*CQ850</f>
        <v>512.95948704</v>
      </c>
      <c r="CR852" s="20">
        <f>+$D851*CR850</f>
        <v>512.95948704</v>
      </c>
      <c r="CS852" s="20">
        <f>+$D851*CS850</f>
        <v>512.96102592000011</v>
      </c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21">
        <f>SUM(H852:DL852)</f>
        <v>1538.88</v>
      </c>
    </row>
    <row r="853" spans="1:117" x14ac:dyDescent="0.3">
      <c r="A853" s="12"/>
      <c r="B853" s="13"/>
      <c r="C853" s="13"/>
      <c r="D853" s="13"/>
      <c r="E853" s="13"/>
      <c r="F853" s="13"/>
      <c r="G853" s="1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5">
        <v>0.5</v>
      </c>
      <c r="CR853" s="15">
        <v>0.5</v>
      </c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6">
        <f>SUM(H853:DL853)</f>
        <v>1</v>
      </c>
    </row>
    <row r="854" spans="1:117" x14ac:dyDescent="0.3">
      <c r="A854" s="17" t="s">
        <v>741</v>
      </c>
      <c r="B854" s="13" t="s">
        <v>742</v>
      </c>
      <c r="C854" s="13" t="s">
        <v>126</v>
      </c>
      <c r="D854" s="13">
        <v>1008</v>
      </c>
      <c r="E854" s="13">
        <f>104636.9103*B2</f>
        <v>104636.9103</v>
      </c>
      <c r="F854" s="13">
        <f>D854*E854</f>
        <v>105474005.58240001</v>
      </c>
      <c r="G854" s="14">
        <f>F854/A1</f>
        <v>1.3522508776250271E-3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8"/>
      <c r="CR854" s="18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9"/>
    </row>
    <row r="855" spans="1:117" x14ac:dyDescent="0.3">
      <c r="A855" s="12"/>
      <c r="B855" s="13"/>
      <c r="C855" s="13"/>
      <c r="D855" s="13"/>
      <c r="E855" s="13"/>
      <c r="F855" s="13"/>
      <c r="G855" s="1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20">
        <f>+$D854*CQ853</f>
        <v>504</v>
      </c>
      <c r="CR855" s="20">
        <f>+$D854*CR853</f>
        <v>504</v>
      </c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21">
        <f>SUM(H855:DL855)</f>
        <v>1008</v>
      </c>
    </row>
    <row r="856" spans="1:117" x14ac:dyDescent="0.3">
      <c r="A856" s="12"/>
      <c r="B856" s="13"/>
      <c r="C856" s="13"/>
      <c r="D856" s="13"/>
      <c r="E856" s="13"/>
      <c r="F856" s="13"/>
      <c r="G856" s="1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5">
        <v>0.5</v>
      </c>
      <c r="CR856" s="15">
        <v>0.5</v>
      </c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6">
        <f>SUM(H856:DL856)</f>
        <v>1</v>
      </c>
    </row>
    <row r="857" spans="1:117" x14ac:dyDescent="0.3">
      <c r="A857" s="17" t="s">
        <v>743</v>
      </c>
      <c r="B857" s="13" t="s">
        <v>744</v>
      </c>
      <c r="C857" s="13" t="s">
        <v>728</v>
      </c>
      <c r="D857" s="13">
        <v>12</v>
      </c>
      <c r="E857" s="13">
        <f>3198467.6896*B2</f>
        <v>3198467.6896000002</v>
      </c>
      <c r="F857" s="13">
        <f>D857*E857</f>
        <v>38381612.275200002</v>
      </c>
      <c r="G857" s="14">
        <f>F857/A1</f>
        <v>4.9207924357490512E-4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8"/>
      <c r="CR857" s="18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9"/>
    </row>
    <row r="858" spans="1:117" x14ac:dyDescent="0.3">
      <c r="A858" s="12"/>
      <c r="B858" s="13"/>
      <c r="C858" s="13"/>
      <c r="D858" s="13"/>
      <c r="E858" s="13"/>
      <c r="F858" s="13"/>
      <c r="G858" s="1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20">
        <f>+$D857*CQ856</f>
        <v>6</v>
      </c>
      <c r="CR858" s="20">
        <f>+$D857*CR856</f>
        <v>6</v>
      </c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21">
        <f>SUM(H858:DL858)</f>
        <v>12</v>
      </c>
    </row>
    <row r="859" spans="1:117" x14ac:dyDescent="0.3">
      <c r="A859" s="12"/>
      <c r="B859" s="13"/>
      <c r="C859" s="13"/>
      <c r="D859" s="13"/>
      <c r="E859" s="13"/>
      <c r="F859" s="13"/>
      <c r="G859" s="1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5">
        <v>0.33333299999999999</v>
      </c>
      <c r="CR859" s="15">
        <v>0.33333299999999999</v>
      </c>
      <c r="CS859" s="15">
        <v>0.33333400000000002</v>
      </c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6">
        <f>SUM(H859:DL859)</f>
        <v>1</v>
      </c>
    </row>
    <row r="860" spans="1:117" x14ac:dyDescent="0.3">
      <c r="A860" s="17" t="s">
        <v>745</v>
      </c>
      <c r="B860" s="13" t="s">
        <v>746</v>
      </c>
      <c r="C860" s="13" t="s">
        <v>274</v>
      </c>
      <c r="D860" s="13">
        <v>189</v>
      </c>
      <c r="E860" s="13">
        <f>399828.6*B2</f>
        <v>399828.6</v>
      </c>
      <c r="F860" s="13">
        <f>D860*E860</f>
        <v>75567605.399999991</v>
      </c>
      <c r="G860" s="14">
        <f>F860/A1</f>
        <v>9.6882980937270031E-4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8"/>
      <c r="CR860" s="18"/>
      <c r="CS860" s="18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9"/>
    </row>
    <row r="861" spans="1:117" x14ac:dyDescent="0.3">
      <c r="A861" s="12"/>
      <c r="B861" s="13"/>
      <c r="C861" s="13"/>
      <c r="D861" s="13"/>
      <c r="E861" s="13"/>
      <c r="F861" s="13"/>
      <c r="G861" s="1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20">
        <f>+$D860*CQ859</f>
        <v>62.999936999999996</v>
      </c>
      <c r="CR861" s="20">
        <f>+$D860*CR859</f>
        <v>62.999936999999996</v>
      </c>
      <c r="CS861" s="20">
        <f>+$D860*CS859</f>
        <v>63.000126000000002</v>
      </c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21">
        <f>SUM(H861:DL861)</f>
        <v>189</v>
      </c>
    </row>
    <row r="862" spans="1:117" x14ac:dyDescent="0.3">
      <c r="A862" s="12"/>
      <c r="B862" s="13"/>
      <c r="C862" s="13"/>
      <c r="D862" s="13"/>
      <c r="E862" s="13"/>
      <c r="F862" s="13"/>
      <c r="G862" s="1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5">
        <v>0.20833299999999999</v>
      </c>
      <c r="CS862" s="15">
        <v>0.20833299999999999</v>
      </c>
      <c r="CT862" s="15">
        <v>0.20833299999999999</v>
      </c>
      <c r="CU862" s="15">
        <v>0.20833299999999999</v>
      </c>
      <c r="CV862" s="15">
        <v>0.16666800000000001</v>
      </c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6">
        <f>SUM(H862:DL862)</f>
        <v>1</v>
      </c>
    </row>
    <row r="863" spans="1:117" x14ac:dyDescent="0.3">
      <c r="A863" s="17" t="s">
        <v>747</v>
      </c>
      <c r="B863" s="13" t="s">
        <v>748</v>
      </c>
      <c r="C863" s="13" t="s">
        <v>280</v>
      </c>
      <c r="D863" s="13">
        <v>48</v>
      </c>
      <c r="E863" s="13">
        <f>6941725.9279*B2</f>
        <v>6941725.9278999995</v>
      </c>
      <c r="F863" s="13">
        <f>D863*E863</f>
        <v>333202844.53919995</v>
      </c>
      <c r="G863" s="14">
        <f>F863/A1</f>
        <v>4.2718946385636647E-3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8"/>
      <c r="CS863" s="18"/>
      <c r="CT863" s="18"/>
      <c r="CU863" s="18"/>
      <c r="CV863" s="18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9"/>
    </row>
    <row r="864" spans="1:117" x14ac:dyDescent="0.3">
      <c r="A864" s="12"/>
      <c r="B864" s="13"/>
      <c r="C864" s="13"/>
      <c r="D864" s="13"/>
      <c r="E864" s="13"/>
      <c r="F864" s="13"/>
      <c r="G864" s="1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20">
        <f>+$D863*CR862</f>
        <v>9.9999839999999995</v>
      </c>
      <c r="CS864" s="20">
        <f>+$D863*CS862</f>
        <v>9.9999839999999995</v>
      </c>
      <c r="CT864" s="20">
        <f>+$D863*CT862</f>
        <v>9.9999839999999995</v>
      </c>
      <c r="CU864" s="20">
        <f>+$D863*CU862</f>
        <v>9.9999839999999995</v>
      </c>
      <c r="CV864" s="20">
        <f>+$D863*CV862</f>
        <v>8.0000640000000001</v>
      </c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21">
        <f>SUM(H864:DL864)</f>
        <v>48</v>
      </c>
    </row>
    <row r="865" spans="1:117" x14ac:dyDescent="0.3">
      <c r="A865" s="12"/>
      <c r="B865" s="13"/>
      <c r="C865" s="13"/>
      <c r="D865" s="13"/>
      <c r="E865" s="13"/>
      <c r="F865" s="13"/>
      <c r="G865" s="1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5">
        <v>6.25E-2</v>
      </c>
      <c r="CR865" s="15">
        <v>0.104167</v>
      </c>
      <c r="CS865" s="15">
        <v>0.104167</v>
      </c>
      <c r="CT865" s="15">
        <v>0.104167</v>
      </c>
      <c r="CU865" s="15">
        <v>0.104167</v>
      </c>
      <c r="CV865" s="15">
        <v>0.104167</v>
      </c>
      <c r="CW865" s="15">
        <v>0.104167</v>
      </c>
      <c r="CX865" s="15">
        <v>0.104167</v>
      </c>
      <c r="CY865" s="15">
        <v>0.104167</v>
      </c>
      <c r="CZ865" s="15">
        <v>0.10416400000000001</v>
      </c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6">
        <f>SUM(H865:DL865)</f>
        <v>1</v>
      </c>
    </row>
    <row r="866" spans="1:117" x14ac:dyDescent="0.3">
      <c r="A866" s="17" t="s">
        <v>749</v>
      </c>
      <c r="B866" s="13" t="s">
        <v>750</v>
      </c>
      <c r="C866" s="13" t="s">
        <v>280</v>
      </c>
      <c r="D866" s="13">
        <v>48</v>
      </c>
      <c r="E866" s="13">
        <f>50615704.0154*B2</f>
        <v>50615704.0154</v>
      </c>
      <c r="F866" s="13">
        <f>D866*E866</f>
        <v>2429553792.7392001</v>
      </c>
      <c r="G866" s="14">
        <f>F866/A1</f>
        <v>3.1148587088618274E-2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9"/>
    </row>
    <row r="867" spans="1:117" x14ac:dyDescent="0.3">
      <c r="A867" s="12"/>
      <c r="B867" s="13"/>
      <c r="C867" s="13"/>
      <c r="D867" s="13"/>
      <c r="E867" s="13"/>
      <c r="F867" s="13"/>
      <c r="G867" s="1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20">
        <f t="shared" ref="CQ867:CZ867" si="28">+$D866*CQ865</f>
        <v>3</v>
      </c>
      <c r="CR867" s="20">
        <f t="shared" si="28"/>
        <v>5.0000159999999996</v>
      </c>
      <c r="CS867" s="20">
        <f t="shared" si="28"/>
        <v>5.0000159999999996</v>
      </c>
      <c r="CT867" s="20">
        <f t="shared" si="28"/>
        <v>5.0000159999999996</v>
      </c>
      <c r="CU867" s="20">
        <f t="shared" si="28"/>
        <v>5.0000159999999996</v>
      </c>
      <c r="CV867" s="20">
        <f t="shared" si="28"/>
        <v>5.0000159999999996</v>
      </c>
      <c r="CW867" s="20">
        <f t="shared" si="28"/>
        <v>5.0000159999999996</v>
      </c>
      <c r="CX867" s="20">
        <f t="shared" si="28"/>
        <v>5.0000159999999996</v>
      </c>
      <c r="CY867" s="20">
        <f t="shared" si="28"/>
        <v>5.0000159999999996</v>
      </c>
      <c r="CZ867" s="20">
        <f t="shared" si="28"/>
        <v>4.9998719999999999</v>
      </c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21">
        <f>SUM(H867:DL867)</f>
        <v>48</v>
      </c>
    </row>
    <row r="868" spans="1:117" x14ac:dyDescent="0.3">
      <c r="A868" s="12"/>
      <c r="B868" s="13"/>
      <c r="C868" s="13"/>
      <c r="D868" s="13"/>
      <c r="E868" s="13"/>
      <c r="F868" s="13"/>
      <c r="G868" s="1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5">
        <v>0.16666700000000001</v>
      </c>
      <c r="CR868" s="15">
        <v>0.16666700000000001</v>
      </c>
      <c r="CS868" s="15">
        <v>0.16666700000000001</v>
      </c>
      <c r="CT868" s="15">
        <v>0.16666700000000001</v>
      </c>
      <c r="CU868" s="15">
        <v>0.16666700000000001</v>
      </c>
      <c r="CV868" s="15">
        <v>0.16666500000000001</v>
      </c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6">
        <f>SUM(H868:DL868)</f>
        <v>1</v>
      </c>
    </row>
    <row r="869" spans="1:117" x14ac:dyDescent="0.3">
      <c r="A869" s="17" t="s">
        <v>751</v>
      </c>
      <c r="B869" s="13" t="s">
        <v>752</v>
      </c>
      <c r="C869" s="13" t="s">
        <v>280</v>
      </c>
      <c r="D869" s="13">
        <v>48</v>
      </c>
      <c r="E869" s="13">
        <f>12811518.081*B2</f>
        <v>12811518.081</v>
      </c>
      <c r="F869" s="13">
        <f>D869*E869</f>
        <v>614952867.88800001</v>
      </c>
      <c r="G869" s="14">
        <f>F869/A1</f>
        <v>7.8841279489468442E-3</v>
      </c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8"/>
      <c r="CR869" s="18"/>
      <c r="CS869" s="18"/>
      <c r="CT869" s="18"/>
      <c r="CU869" s="18"/>
      <c r="CV869" s="18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9"/>
    </row>
    <row r="870" spans="1:117" x14ac:dyDescent="0.3">
      <c r="A870" s="12"/>
      <c r="B870" s="13"/>
      <c r="C870" s="13"/>
      <c r="D870" s="13"/>
      <c r="E870" s="13"/>
      <c r="F870" s="13"/>
      <c r="G870" s="1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20">
        <f t="shared" ref="CQ870:CV870" si="29">+$D869*CQ868</f>
        <v>8.0000160000000005</v>
      </c>
      <c r="CR870" s="20">
        <f t="shared" si="29"/>
        <v>8.0000160000000005</v>
      </c>
      <c r="CS870" s="20">
        <f t="shared" si="29"/>
        <v>8.0000160000000005</v>
      </c>
      <c r="CT870" s="20">
        <f t="shared" si="29"/>
        <v>8.0000160000000005</v>
      </c>
      <c r="CU870" s="20">
        <f t="shared" si="29"/>
        <v>8.0000160000000005</v>
      </c>
      <c r="CV870" s="20">
        <f t="shared" si="29"/>
        <v>7.9999200000000004</v>
      </c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21">
        <f>SUM(H870:DL870)</f>
        <v>48.000000000000007</v>
      </c>
    </row>
    <row r="871" spans="1:117" x14ac:dyDescent="0.3">
      <c r="A871" s="12"/>
      <c r="B871" s="13"/>
      <c r="C871" s="13"/>
      <c r="D871" s="13"/>
      <c r="E871" s="13"/>
      <c r="F871" s="13"/>
      <c r="G871" s="1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5">
        <v>0.125</v>
      </c>
      <c r="CS871" s="15">
        <v>0.14583299999999999</v>
      </c>
      <c r="CT871" s="15">
        <v>0.14583299999999999</v>
      </c>
      <c r="CU871" s="15">
        <v>0.14583299999999999</v>
      </c>
      <c r="CV871" s="15">
        <v>0.14583299999999999</v>
      </c>
      <c r="CW871" s="15">
        <v>0.14583299999999999</v>
      </c>
      <c r="CX871" s="15">
        <v>0.14583499999999999</v>
      </c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6">
        <f>SUM(H871:DL871)</f>
        <v>1</v>
      </c>
    </row>
    <row r="872" spans="1:117" x14ac:dyDescent="0.3">
      <c r="A872" s="17" t="s">
        <v>753</v>
      </c>
      <c r="B872" s="13" t="s">
        <v>754</v>
      </c>
      <c r="C872" s="13" t="s">
        <v>280</v>
      </c>
      <c r="D872" s="13">
        <v>48</v>
      </c>
      <c r="E872" s="13">
        <f>13864325.1059*B2</f>
        <v>13864325.105900001</v>
      </c>
      <c r="F872" s="13">
        <f>D872*E872</f>
        <v>665487605.08319998</v>
      </c>
      <c r="G872" s="14">
        <f>F872/A1</f>
        <v>8.5320187950887697E-3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8"/>
      <c r="CS872" s="18"/>
      <c r="CT872" s="18"/>
      <c r="CU872" s="18"/>
      <c r="CV872" s="18"/>
      <c r="CW872" s="18"/>
      <c r="CX872" s="18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9"/>
    </row>
    <row r="873" spans="1:117" x14ac:dyDescent="0.3">
      <c r="A873" s="12"/>
      <c r="B873" s="13"/>
      <c r="C873" s="13"/>
      <c r="D873" s="13"/>
      <c r="E873" s="13"/>
      <c r="F873" s="13"/>
      <c r="G873" s="1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20">
        <f t="shared" ref="CR873:CX873" si="30">+$D872*CR871</f>
        <v>6</v>
      </c>
      <c r="CS873" s="20">
        <f t="shared" si="30"/>
        <v>6.9999839999999995</v>
      </c>
      <c r="CT873" s="20">
        <f t="shared" si="30"/>
        <v>6.9999839999999995</v>
      </c>
      <c r="CU873" s="20">
        <f t="shared" si="30"/>
        <v>6.9999839999999995</v>
      </c>
      <c r="CV873" s="20">
        <f t="shared" si="30"/>
        <v>6.9999839999999995</v>
      </c>
      <c r="CW873" s="20">
        <f t="shared" si="30"/>
        <v>6.9999839999999995</v>
      </c>
      <c r="CX873" s="20">
        <f t="shared" si="30"/>
        <v>7.0000799999999996</v>
      </c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21">
        <f>SUM(H873:DL873)</f>
        <v>47.999999999999993</v>
      </c>
    </row>
    <row r="874" spans="1:117" x14ac:dyDescent="0.3">
      <c r="A874" s="12"/>
      <c r="B874" s="13"/>
      <c r="C874" s="13"/>
      <c r="D874" s="13"/>
      <c r="E874" s="13"/>
      <c r="F874" s="13"/>
      <c r="G874" s="1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5">
        <v>0.33333299999999999</v>
      </c>
      <c r="CT874" s="15">
        <v>0.33333299999999999</v>
      </c>
      <c r="CU874" s="15">
        <v>0.33333400000000002</v>
      </c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6">
        <f>SUM(H874:DL874)</f>
        <v>1</v>
      </c>
    </row>
    <row r="875" spans="1:117" x14ac:dyDescent="0.3">
      <c r="A875" s="17" t="s">
        <v>755</v>
      </c>
      <c r="B875" s="13" t="s">
        <v>756</v>
      </c>
      <c r="C875" s="13" t="s">
        <v>280</v>
      </c>
      <c r="D875" s="13">
        <v>48</v>
      </c>
      <c r="E875" s="13">
        <f>14005674.1203*B2</f>
        <v>14005674.120300001</v>
      </c>
      <c r="F875" s="13">
        <f>D875*E875</f>
        <v>672272357.7744</v>
      </c>
      <c r="G875" s="14">
        <f>F875/A1</f>
        <v>8.6190040928451565E-3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8"/>
      <c r="CT875" s="18"/>
      <c r="CU875" s="18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9"/>
    </row>
    <row r="876" spans="1:117" x14ac:dyDescent="0.3">
      <c r="A876" s="12"/>
      <c r="B876" s="13"/>
      <c r="C876" s="13"/>
      <c r="D876" s="13"/>
      <c r="E876" s="13"/>
      <c r="F876" s="13"/>
      <c r="G876" s="1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20">
        <f>+$D875*CS874</f>
        <v>15.999984</v>
      </c>
      <c r="CT876" s="20">
        <f>+$D875*CT874</f>
        <v>15.999984</v>
      </c>
      <c r="CU876" s="20">
        <f>+$D875*CU874</f>
        <v>16.000032000000001</v>
      </c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21">
        <f>SUM(H876:DL876)</f>
        <v>48</v>
      </c>
    </row>
    <row r="877" spans="1:117" x14ac:dyDescent="0.3">
      <c r="A877" s="12"/>
      <c r="B877" s="13"/>
      <c r="C877" s="13"/>
      <c r="D877" s="13"/>
      <c r="E877" s="13"/>
      <c r="F877" s="13"/>
      <c r="G877" s="1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5">
        <v>0.14285700000000001</v>
      </c>
      <c r="CT877" s="15">
        <v>0.14285700000000001</v>
      </c>
      <c r="CU877" s="15">
        <v>0.14285700000000001</v>
      </c>
      <c r="CV877" s="15">
        <v>0.14285700000000001</v>
      </c>
      <c r="CW877" s="15">
        <v>0.14285700000000001</v>
      </c>
      <c r="CX877" s="15">
        <v>0.14285700000000001</v>
      </c>
      <c r="CY877" s="15">
        <v>0.14285800000000001</v>
      </c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6">
        <f>SUM(H877:DL877)</f>
        <v>1</v>
      </c>
    </row>
    <row r="878" spans="1:117" x14ac:dyDescent="0.3">
      <c r="A878" s="17" t="s">
        <v>757</v>
      </c>
      <c r="B878" s="13" t="s">
        <v>758</v>
      </c>
      <c r="C878" s="13" t="s">
        <v>126</v>
      </c>
      <c r="D878" s="13">
        <v>374.85</v>
      </c>
      <c r="E878" s="13">
        <f>2375267.0428*B2</f>
        <v>2375267.0427999999</v>
      </c>
      <c r="F878" s="13">
        <f>D878*E878</f>
        <v>890368850.99357998</v>
      </c>
      <c r="G878" s="14">
        <f>F878/A1</f>
        <v>1.1415154411912865E-2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8"/>
      <c r="CT878" s="18"/>
      <c r="CU878" s="18"/>
      <c r="CV878" s="18"/>
      <c r="CW878" s="18"/>
      <c r="CX878" s="18"/>
      <c r="CY878" s="18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9"/>
    </row>
    <row r="879" spans="1:117" x14ac:dyDescent="0.3">
      <c r="A879" s="12"/>
      <c r="B879" s="13"/>
      <c r="C879" s="13"/>
      <c r="D879" s="13"/>
      <c r="E879" s="13"/>
      <c r="F879" s="13"/>
      <c r="G879" s="1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20">
        <f t="shared" ref="CS879:CY879" si="31">+$D878*CS877</f>
        <v>53.549946450000007</v>
      </c>
      <c r="CT879" s="20">
        <f t="shared" si="31"/>
        <v>53.549946450000007</v>
      </c>
      <c r="CU879" s="20">
        <f t="shared" si="31"/>
        <v>53.549946450000007</v>
      </c>
      <c r="CV879" s="20">
        <f t="shared" si="31"/>
        <v>53.549946450000007</v>
      </c>
      <c r="CW879" s="20">
        <f t="shared" si="31"/>
        <v>53.549946450000007</v>
      </c>
      <c r="CX879" s="20">
        <f t="shared" si="31"/>
        <v>53.549946450000007</v>
      </c>
      <c r="CY879" s="20">
        <f t="shared" si="31"/>
        <v>53.550321300000007</v>
      </c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21">
        <f>SUM(H879:DL879)</f>
        <v>374.85</v>
      </c>
    </row>
    <row r="880" spans="1:117" x14ac:dyDescent="0.3">
      <c r="A880" s="12"/>
      <c r="B880" s="13"/>
      <c r="C880" s="13"/>
      <c r="D880" s="13"/>
      <c r="E880" s="13"/>
      <c r="F880" s="13"/>
      <c r="G880" s="1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5">
        <v>0.14269899999999999</v>
      </c>
      <c r="CT880" s="15">
        <v>0.14269899999999999</v>
      </c>
      <c r="CU880" s="15">
        <v>0.14269899999999999</v>
      </c>
      <c r="CV880" s="15">
        <v>0.14269899999999999</v>
      </c>
      <c r="CW880" s="15">
        <v>0.14269899999999999</v>
      </c>
      <c r="CX880" s="15">
        <v>0.14269899999999999</v>
      </c>
      <c r="CY880" s="15">
        <v>0.14380599999999999</v>
      </c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6">
        <f>SUM(H880:DL880)</f>
        <v>1</v>
      </c>
    </row>
    <row r="881" spans="1:117" x14ac:dyDescent="0.3">
      <c r="A881" s="17" t="s">
        <v>759</v>
      </c>
      <c r="B881" s="13" t="s">
        <v>760</v>
      </c>
      <c r="C881" s="13" t="s">
        <v>126</v>
      </c>
      <c r="D881" s="13">
        <v>451.5</v>
      </c>
      <c r="E881" s="13">
        <f>1472700.3113*B2</f>
        <v>1472700.3112999999</v>
      </c>
      <c r="F881" s="13">
        <f>D881*E881</f>
        <v>664924190.55194998</v>
      </c>
      <c r="G881" s="14">
        <f>F881/A1</f>
        <v>8.5247954248361402E-3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8"/>
      <c r="CT881" s="18"/>
      <c r="CU881" s="18"/>
      <c r="CV881" s="18"/>
      <c r="CW881" s="18"/>
      <c r="CX881" s="18"/>
      <c r="CY881" s="18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9"/>
    </row>
    <row r="882" spans="1:117" x14ac:dyDescent="0.3">
      <c r="A882" s="12"/>
      <c r="B882" s="13"/>
      <c r="C882" s="13"/>
      <c r="D882" s="13"/>
      <c r="E882" s="13"/>
      <c r="F882" s="13"/>
      <c r="G882" s="1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20">
        <f t="shared" ref="CS882:CY882" si="32">+$D881*CS880</f>
        <v>64.428598499999993</v>
      </c>
      <c r="CT882" s="20">
        <f t="shared" si="32"/>
        <v>64.428598499999993</v>
      </c>
      <c r="CU882" s="20">
        <f t="shared" si="32"/>
        <v>64.428598499999993</v>
      </c>
      <c r="CV882" s="20">
        <f t="shared" si="32"/>
        <v>64.428598499999993</v>
      </c>
      <c r="CW882" s="20">
        <f t="shared" si="32"/>
        <v>64.428598499999993</v>
      </c>
      <c r="CX882" s="20">
        <f t="shared" si="32"/>
        <v>64.428598499999993</v>
      </c>
      <c r="CY882" s="20">
        <f t="shared" si="32"/>
        <v>64.928409000000002</v>
      </c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21">
        <f>SUM(H882:DL882)</f>
        <v>451.5</v>
      </c>
    </row>
    <row r="883" spans="1:117" x14ac:dyDescent="0.3">
      <c r="A883" s="8" t="s">
        <v>761</v>
      </c>
      <c r="B883" s="9" t="s">
        <v>762</v>
      </c>
      <c r="C883" s="9"/>
      <c r="D883" s="9"/>
      <c r="E883" s="9"/>
      <c r="F883" s="9"/>
      <c r="G883" s="1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11"/>
    </row>
    <row r="884" spans="1:117" x14ac:dyDescent="0.3">
      <c r="A884" s="12"/>
      <c r="B884" s="13"/>
      <c r="C884" s="13"/>
      <c r="D884" s="13"/>
      <c r="E884" s="13"/>
      <c r="F884" s="13"/>
      <c r="G884" s="1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5">
        <v>3.0842999999999999E-2</v>
      </c>
      <c r="CR884" s="15">
        <v>0.96915700000000005</v>
      </c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6">
        <f>SUM(H884:DL884)</f>
        <v>1</v>
      </c>
    </row>
    <row r="885" spans="1:117" x14ac:dyDescent="0.3">
      <c r="A885" s="17" t="s">
        <v>763</v>
      </c>
      <c r="B885" s="13" t="s">
        <v>764</v>
      </c>
      <c r="C885" s="13" t="s">
        <v>135</v>
      </c>
      <c r="D885" s="13">
        <v>2377.1799999999998</v>
      </c>
      <c r="E885" s="13">
        <f>23899.1691*B2</f>
        <v>23899.169099999999</v>
      </c>
      <c r="F885" s="13">
        <f>D885*E885</f>
        <v>56812626.801137991</v>
      </c>
      <c r="G885" s="14">
        <f>F885/A1</f>
        <v>7.2837780292703161E-4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8"/>
      <c r="CR885" s="18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9"/>
    </row>
    <row r="886" spans="1:117" x14ac:dyDescent="0.3">
      <c r="A886" s="12"/>
      <c r="B886" s="13"/>
      <c r="C886" s="13"/>
      <c r="D886" s="13"/>
      <c r="E886" s="13"/>
      <c r="F886" s="13"/>
      <c r="G886" s="1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20">
        <f>+$D885*CQ884</f>
        <v>73.319362739999988</v>
      </c>
      <c r="CR886" s="20">
        <f>+$D885*CR884</f>
        <v>2303.8606372599997</v>
      </c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21">
        <f>SUM(H886:DL886)</f>
        <v>2377.1799999999998</v>
      </c>
    </row>
    <row r="887" spans="1:117" x14ac:dyDescent="0.3">
      <c r="A887" s="12"/>
      <c r="B887" s="13"/>
      <c r="C887" s="13"/>
      <c r="D887" s="13"/>
      <c r="E887" s="13"/>
      <c r="F887" s="13"/>
      <c r="G887" s="1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5">
        <v>0.777586</v>
      </c>
      <c r="CR887" s="15">
        <v>0.222414</v>
      </c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6">
        <f>SUM(H887:DL887)</f>
        <v>1</v>
      </c>
    </row>
    <row r="888" spans="1:117" x14ac:dyDescent="0.3">
      <c r="A888" s="17" t="s">
        <v>765</v>
      </c>
      <c r="B888" s="13" t="s">
        <v>766</v>
      </c>
      <c r="C888" s="13" t="s">
        <v>135</v>
      </c>
      <c r="D888" s="13">
        <v>5.8</v>
      </c>
      <c r="E888" s="13">
        <f>409405.8047*B2</f>
        <v>409405.80469999998</v>
      </c>
      <c r="F888" s="13">
        <f>D888*E888</f>
        <v>2374553.66726</v>
      </c>
      <c r="G888" s="14">
        <f>F888/A1</f>
        <v>3.0443446826445984E-5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8"/>
      <c r="CR888" s="18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9"/>
    </row>
    <row r="889" spans="1:117" x14ac:dyDescent="0.3">
      <c r="A889" s="12"/>
      <c r="B889" s="13"/>
      <c r="C889" s="13"/>
      <c r="D889" s="13"/>
      <c r="E889" s="13"/>
      <c r="F889" s="13"/>
      <c r="G889" s="1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20">
        <f>+$D888*CQ887</f>
        <v>4.5099988</v>
      </c>
      <c r="CR889" s="20">
        <f>+$D888*CR887</f>
        <v>1.2900012000000001</v>
      </c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21">
        <f>SUM(H889:DL889)</f>
        <v>5.8</v>
      </c>
    </row>
    <row r="890" spans="1:117" x14ac:dyDescent="0.3">
      <c r="A890" s="12"/>
      <c r="B890" s="13"/>
      <c r="C890" s="13"/>
      <c r="D890" s="13"/>
      <c r="E890" s="13"/>
      <c r="F890" s="13"/>
      <c r="G890" s="1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5">
        <v>0.24391199999999999</v>
      </c>
      <c r="CR890" s="15">
        <v>0.43904100000000001</v>
      </c>
      <c r="CS890" s="15">
        <v>0.29269400000000001</v>
      </c>
      <c r="CT890" s="15">
        <v>2.4353E-2</v>
      </c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6">
        <f>SUM(H890:DL890)</f>
        <v>1</v>
      </c>
    </row>
    <row r="891" spans="1:117" x14ac:dyDescent="0.3">
      <c r="A891" s="17" t="s">
        <v>767</v>
      </c>
      <c r="B891" s="13" t="s">
        <v>768</v>
      </c>
      <c r="C891" s="13" t="s">
        <v>135</v>
      </c>
      <c r="D891" s="13">
        <v>85</v>
      </c>
      <c r="E891" s="13">
        <f>1388004.8465*B2</f>
        <v>1388004.8465</v>
      </c>
      <c r="F891" s="13">
        <f>D891*E891</f>
        <v>117980411.9525</v>
      </c>
      <c r="G891" s="14">
        <f>F891/A1</f>
        <v>1.5125917966649402E-3</v>
      </c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8"/>
      <c r="CR891" s="18"/>
      <c r="CS891" s="18"/>
      <c r="CT891" s="18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9"/>
    </row>
    <row r="892" spans="1:117" x14ac:dyDescent="0.3">
      <c r="A892" s="12"/>
      <c r="B892" s="13"/>
      <c r="C892" s="13"/>
      <c r="D892" s="13"/>
      <c r="E892" s="13"/>
      <c r="F892" s="13"/>
      <c r="G892" s="1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20">
        <f>+$D891*CQ890</f>
        <v>20.732519999999997</v>
      </c>
      <c r="CR892" s="20">
        <f>+$D891*CR890</f>
        <v>37.318485000000003</v>
      </c>
      <c r="CS892" s="20">
        <f>+$D891*CS890</f>
        <v>24.878990000000002</v>
      </c>
      <c r="CT892" s="20">
        <f>+$D891*CT890</f>
        <v>2.0700050000000001</v>
      </c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21">
        <f>SUM(H892:DL892)</f>
        <v>85</v>
      </c>
    </row>
    <row r="893" spans="1:117" x14ac:dyDescent="0.3">
      <c r="A893" s="12"/>
      <c r="B893" s="13"/>
      <c r="C893" s="13"/>
      <c r="D893" s="13"/>
      <c r="E893" s="13"/>
      <c r="F893" s="13"/>
      <c r="G893" s="1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5">
        <v>1</v>
      </c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6">
        <f>SUM(H893:DL893)</f>
        <v>1</v>
      </c>
    </row>
    <row r="894" spans="1:117" x14ac:dyDescent="0.3">
      <c r="A894" s="17" t="s">
        <v>769</v>
      </c>
      <c r="B894" s="13" t="s">
        <v>770</v>
      </c>
      <c r="C894" s="13" t="s">
        <v>135</v>
      </c>
      <c r="D894" s="13">
        <v>1527.12</v>
      </c>
      <c r="E894" s="13">
        <f>65276.9503*B2</f>
        <v>65276.950299999997</v>
      </c>
      <c r="F894" s="13">
        <f>D894*E894</f>
        <v>99685736.342135981</v>
      </c>
      <c r="G894" s="14">
        <f>F894/A1</f>
        <v>1.2780411980280757E-3</v>
      </c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8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9"/>
    </row>
    <row r="895" spans="1:117" x14ac:dyDescent="0.3">
      <c r="A895" s="12"/>
      <c r="B895" s="13"/>
      <c r="C895" s="13"/>
      <c r="D895" s="13"/>
      <c r="E895" s="13"/>
      <c r="F895" s="13"/>
      <c r="G895" s="1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20">
        <f>+$D894*CU893</f>
        <v>1527.12</v>
      </c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21">
        <f>SUM(H895:DL895)</f>
        <v>1527.12</v>
      </c>
    </row>
    <row r="896" spans="1:117" x14ac:dyDescent="0.3">
      <c r="A896" s="12"/>
      <c r="B896" s="13"/>
      <c r="C896" s="13"/>
      <c r="D896" s="13"/>
      <c r="E896" s="13"/>
      <c r="F896" s="13"/>
      <c r="G896" s="1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5">
        <v>0.48132000000000003</v>
      </c>
      <c r="CT896" s="15">
        <v>0.48132000000000003</v>
      </c>
      <c r="CU896" s="15">
        <v>3.7358000000000002E-2</v>
      </c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6">
        <f>SUM(H896:DL896)</f>
        <v>0.99999800000000005</v>
      </c>
    </row>
    <row r="897" spans="1:117" x14ac:dyDescent="0.3">
      <c r="A897" s="17" t="s">
        <v>771</v>
      </c>
      <c r="B897" s="13" t="s">
        <v>772</v>
      </c>
      <c r="C897" s="13" t="s">
        <v>277</v>
      </c>
      <c r="D897" s="13">
        <v>284</v>
      </c>
      <c r="E897" s="13">
        <f>24800.7167*B2</f>
        <v>24800.716700000001</v>
      </c>
      <c r="F897" s="13">
        <f>D897*E897</f>
        <v>7043403.5427999999</v>
      </c>
      <c r="G897" s="14">
        <f>F897/A1</f>
        <v>9.0301383451088239E-5</v>
      </c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8"/>
      <c r="CT897" s="18"/>
      <c r="CU897" s="18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9"/>
    </row>
    <row r="898" spans="1:117" x14ac:dyDescent="0.3">
      <c r="A898" s="12"/>
      <c r="B898" s="13"/>
      <c r="C898" s="13"/>
      <c r="D898" s="13"/>
      <c r="E898" s="13"/>
      <c r="F898" s="13"/>
      <c r="G898" s="1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20">
        <f>+$D897*CS896</f>
        <v>136.69488000000001</v>
      </c>
      <c r="CT898" s="20">
        <f>+$D897*CT896</f>
        <v>136.69488000000001</v>
      </c>
      <c r="CU898" s="20">
        <f>+$D897*CU896</f>
        <v>10.609672</v>
      </c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21">
        <f>SUM(H898:DL898)</f>
        <v>283.99943200000001</v>
      </c>
    </row>
    <row r="899" spans="1:117" x14ac:dyDescent="0.3">
      <c r="A899" s="12"/>
      <c r="B899" s="13"/>
      <c r="C899" s="13"/>
      <c r="D899" s="13"/>
      <c r="E899" s="13"/>
      <c r="F899" s="13"/>
      <c r="G899" s="1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5">
        <v>1</v>
      </c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6">
        <f>SUM(H899:DL899)</f>
        <v>1</v>
      </c>
    </row>
    <row r="900" spans="1:117" x14ac:dyDescent="0.3">
      <c r="A900" s="17" t="s">
        <v>773</v>
      </c>
      <c r="B900" s="13" t="s">
        <v>774</v>
      </c>
      <c r="C900" s="13" t="s">
        <v>775</v>
      </c>
      <c r="D900" s="13">
        <v>2</v>
      </c>
      <c r="E900" s="13">
        <f>364465*B2</f>
        <v>364465</v>
      </c>
      <c r="F900" s="13">
        <f>D900*E900</f>
        <v>728930</v>
      </c>
      <c r="G900" s="14">
        <f>F900/A1</f>
        <v>9.3453948845922082E-6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8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9"/>
    </row>
    <row r="901" spans="1:117" x14ac:dyDescent="0.3">
      <c r="A901" s="12"/>
      <c r="B901" s="13"/>
      <c r="C901" s="13"/>
      <c r="D901" s="13"/>
      <c r="E901" s="13"/>
      <c r="F901" s="13"/>
      <c r="G901" s="1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20">
        <f>+$D900*CU899</f>
        <v>2</v>
      </c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21">
        <f>SUM(H901:DL901)</f>
        <v>2</v>
      </c>
    </row>
    <row r="902" spans="1:117" x14ac:dyDescent="0.3">
      <c r="A902" s="12"/>
      <c r="B902" s="13"/>
      <c r="C902" s="13"/>
      <c r="D902" s="13"/>
      <c r="E902" s="13"/>
      <c r="F902" s="13"/>
      <c r="G902" s="1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6">
        <f>SUM(H902:DL902)</f>
        <v>0</v>
      </c>
    </row>
    <row r="903" spans="1:117" x14ac:dyDescent="0.3">
      <c r="A903" s="17" t="s">
        <v>776</v>
      </c>
      <c r="B903" s="13" t="s">
        <v>777</v>
      </c>
      <c r="C903" s="13" t="s">
        <v>319</v>
      </c>
      <c r="D903" s="13">
        <v>0</v>
      </c>
      <c r="E903" s="13">
        <f>0*B2</f>
        <v>0</v>
      </c>
      <c r="F903" s="13">
        <f>D903*E903</f>
        <v>0</v>
      </c>
      <c r="G903" s="14">
        <f>F903/A1</f>
        <v>0</v>
      </c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9"/>
    </row>
    <row r="904" spans="1:117" x14ac:dyDescent="0.3">
      <c r="A904" s="12"/>
      <c r="B904" s="13"/>
      <c r="C904" s="13"/>
      <c r="D904" s="13"/>
      <c r="E904" s="13"/>
      <c r="F904" s="13"/>
      <c r="G904" s="1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21">
        <f>SUM(H904:DL904)</f>
        <v>0</v>
      </c>
    </row>
    <row r="905" spans="1:117" x14ac:dyDescent="0.3">
      <c r="A905" s="12"/>
      <c r="B905" s="13"/>
      <c r="C905" s="13"/>
      <c r="D905" s="13"/>
      <c r="E905" s="13"/>
      <c r="F905" s="13"/>
      <c r="G905" s="1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5">
        <v>1</v>
      </c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6">
        <f>SUM(H905:DL905)</f>
        <v>1</v>
      </c>
    </row>
    <row r="906" spans="1:117" x14ac:dyDescent="0.3">
      <c r="A906" s="17" t="s">
        <v>778</v>
      </c>
      <c r="B906" s="13" t="s">
        <v>779</v>
      </c>
      <c r="C906" s="13" t="s">
        <v>126</v>
      </c>
      <c r="D906" s="13">
        <v>220.5</v>
      </c>
      <c r="E906" s="13">
        <f>1354203.4705*B2</f>
        <v>1354203.4705000001</v>
      </c>
      <c r="F906" s="13">
        <f>D906*E906</f>
        <v>298601865.24524999</v>
      </c>
      <c r="G906" s="14">
        <f>F906/A1</f>
        <v>3.8282857667988023E-3</v>
      </c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8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9"/>
    </row>
    <row r="907" spans="1:117" x14ac:dyDescent="0.3">
      <c r="A907" s="12"/>
      <c r="B907" s="13"/>
      <c r="C907" s="13"/>
      <c r="D907" s="13"/>
      <c r="E907" s="13"/>
      <c r="F907" s="13"/>
      <c r="G907" s="1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20">
        <f>+$D906*CU905</f>
        <v>220.5</v>
      </c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21">
        <f>SUM(H907:DL907)</f>
        <v>220.5</v>
      </c>
    </row>
    <row r="908" spans="1:117" x14ac:dyDescent="0.3">
      <c r="A908" s="8" t="s">
        <v>780</v>
      </c>
      <c r="B908" s="9" t="s">
        <v>781</v>
      </c>
      <c r="C908" s="9"/>
      <c r="D908" s="9"/>
      <c r="E908" s="9"/>
      <c r="F908" s="9"/>
      <c r="G908" s="1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11"/>
    </row>
    <row r="909" spans="1:117" x14ac:dyDescent="0.3">
      <c r="A909" s="12"/>
      <c r="B909" s="13"/>
      <c r="C909" s="13"/>
      <c r="D909" s="13"/>
      <c r="E909" s="13"/>
      <c r="F909" s="13"/>
      <c r="G909" s="1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5">
        <v>1</v>
      </c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6">
        <f>SUM(H909:DL909)</f>
        <v>1</v>
      </c>
    </row>
    <row r="910" spans="1:117" x14ac:dyDescent="0.3">
      <c r="A910" s="17" t="s">
        <v>782</v>
      </c>
      <c r="B910" s="13" t="s">
        <v>783</v>
      </c>
      <c r="C910" s="13" t="s">
        <v>135</v>
      </c>
      <c r="D910" s="13">
        <v>66668.59</v>
      </c>
      <c r="E910" s="13">
        <f>13149.5578*B2</f>
        <v>13149.5578</v>
      </c>
      <c r="F910" s="13">
        <f>D910*E910</f>
        <v>876662477.64950204</v>
      </c>
      <c r="G910" s="14">
        <f>F910/A1</f>
        <v>1.1239429072941965E-2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8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9"/>
    </row>
    <row r="911" spans="1:117" x14ac:dyDescent="0.3">
      <c r="A911" s="12"/>
      <c r="B911" s="13"/>
      <c r="C911" s="13"/>
      <c r="D911" s="13"/>
      <c r="E911" s="13"/>
      <c r="F911" s="13"/>
      <c r="G911" s="1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20">
        <f>+$D910*BF909</f>
        <v>66668.59</v>
      </c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21">
        <f>SUM(H911:DL911)</f>
        <v>66668.59</v>
      </c>
    </row>
    <row r="912" spans="1:117" x14ac:dyDescent="0.3">
      <c r="A912" s="12"/>
      <c r="B912" s="13"/>
      <c r="C912" s="13"/>
      <c r="D912" s="13"/>
      <c r="E912" s="13"/>
      <c r="F912" s="13"/>
      <c r="G912" s="1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5">
        <v>1</v>
      </c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6">
        <f>SUM(H912:DL912)</f>
        <v>1</v>
      </c>
    </row>
    <row r="913" spans="1:117" x14ac:dyDescent="0.3">
      <c r="A913" s="17" t="s">
        <v>784</v>
      </c>
      <c r="B913" s="13" t="s">
        <v>785</v>
      </c>
      <c r="C913" s="13" t="s">
        <v>135</v>
      </c>
      <c r="D913" s="13">
        <v>878.47</v>
      </c>
      <c r="E913" s="13">
        <f>409410.5838*B2</f>
        <v>409410.58380000002</v>
      </c>
      <c r="F913" s="13">
        <f>D913*E913</f>
        <v>359654915.55078602</v>
      </c>
      <c r="G913" s="14">
        <f>F913/A1</f>
        <v>4.6110287791787394E-3</v>
      </c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8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9"/>
    </row>
    <row r="914" spans="1:117" x14ac:dyDescent="0.3">
      <c r="A914" s="12"/>
      <c r="B914" s="13"/>
      <c r="C914" s="13"/>
      <c r="D914" s="13"/>
      <c r="E914" s="13"/>
      <c r="F914" s="13"/>
      <c r="G914" s="1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20">
        <f>+$D913*BF912</f>
        <v>878.47</v>
      </c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21">
        <f>SUM(H914:DL914)</f>
        <v>878.47</v>
      </c>
    </row>
    <row r="915" spans="1:117" x14ac:dyDescent="0.3">
      <c r="A915" s="12"/>
      <c r="B915" s="13"/>
      <c r="C915" s="13"/>
      <c r="D915" s="13"/>
      <c r="E915" s="13"/>
      <c r="F915" s="13"/>
      <c r="G915" s="1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5">
        <v>0.78664000000000001</v>
      </c>
      <c r="BG915" s="15">
        <v>6.3559999999999997E-3</v>
      </c>
      <c r="BH915" s="15">
        <v>4.7670000000000004E-3</v>
      </c>
      <c r="BI915" s="15">
        <v>7.9439999999999997E-3</v>
      </c>
      <c r="BJ915" s="15">
        <v>4.0499999999999998E-3</v>
      </c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5">
        <v>1.7295000000000001E-2</v>
      </c>
      <c r="CS915" s="15">
        <v>1.7295000000000001E-2</v>
      </c>
      <c r="CT915" s="15">
        <v>1.7295000000000001E-2</v>
      </c>
      <c r="CU915" s="15">
        <v>1.7295000000000001E-2</v>
      </c>
      <c r="CV915" s="15">
        <v>1.7295000000000001E-2</v>
      </c>
      <c r="CW915" s="15">
        <v>1.7295000000000001E-2</v>
      </c>
      <c r="CX915" s="15">
        <v>1.7295000000000001E-2</v>
      </c>
      <c r="CY915" s="15">
        <v>1.7295000000000001E-2</v>
      </c>
      <c r="CZ915" s="15">
        <v>1.7295000000000001E-2</v>
      </c>
      <c r="DA915" s="15">
        <v>1.7295000000000001E-2</v>
      </c>
      <c r="DB915" s="15">
        <v>1.7292999999999999E-2</v>
      </c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6">
        <f>SUM(H915:DL915)</f>
        <v>0.99999999999999944</v>
      </c>
    </row>
    <row r="916" spans="1:117" x14ac:dyDescent="0.3">
      <c r="A916" s="17" t="s">
        <v>786</v>
      </c>
      <c r="B916" s="13" t="s">
        <v>787</v>
      </c>
      <c r="C916" s="13" t="s">
        <v>135</v>
      </c>
      <c r="D916" s="13">
        <v>8395.4500000000007</v>
      </c>
      <c r="E916" s="13">
        <f>1075926.2916*B2</f>
        <v>1075926.2916000001</v>
      </c>
      <c r="F916" s="13">
        <f>D916*E916</f>
        <v>9032885384.813221</v>
      </c>
      <c r="G916" s="14">
        <f>F916/A1</f>
        <v>0.11580793885330717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8"/>
      <c r="BG916" s="18"/>
      <c r="BH916" s="18"/>
      <c r="BI916" s="18"/>
      <c r="BJ916" s="18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9"/>
    </row>
    <row r="917" spans="1:117" x14ac:dyDescent="0.3">
      <c r="A917" s="12"/>
      <c r="B917" s="13"/>
      <c r="C917" s="13"/>
      <c r="D917" s="13"/>
      <c r="E917" s="13"/>
      <c r="F917" s="13"/>
      <c r="G917" s="1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20">
        <f>+$D916*BF915</f>
        <v>6604.1967880000002</v>
      </c>
      <c r="BG917" s="20">
        <f>+$D916*BG915</f>
        <v>53.361480200000003</v>
      </c>
      <c r="BH917" s="20">
        <f>+$D916*BH915</f>
        <v>40.021110150000005</v>
      </c>
      <c r="BI917" s="20">
        <f>+$D916*BI915</f>
        <v>66.693454799999998</v>
      </c>
      <c r="BJ917" s="20">
        <f>+$D916*BJ915</f>
        <v>34.001572500000002</v>
      </c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20">
        <f t="shared" ref="CR917:DB917" si="33">+$D916*CR915</f>
        <v>145.19930775000003</v>
      </c>
      <c r="CS917" s="20">
        <f t="shared" si="33"/>
        <v>145.19930775000003</v>
      </c>
      <c r="CT917" s="20">
        <f t="shared" si="33"/>
        <v>145.19930775000003</v>
      </c>
      <c r="CU917" s="20">
        <f t="shared" si="33"/>
        <v>145.19930775000003</v>
      </c>
      <c r="CV917" s="20">
        <f t="shared" si="33"/>
        <v>145.19930775000003</v>
      </c>
      <c r="CW917" s="20">
        <f t="shared" si="33"/>
        <v>145.19930775000003</v>
      </c>
      <c r="CX917" s="20">
        <f t="shared" si="33"/>
        <v>145.19930775000003</v>
      </c>
      <c r="CY917" s="20">
        <f t="shared" si="33"/>
        <v>145.19930775000003</v>
      </c>
      <c r="CZ917" s="20">
        <f t="shared" si="33"/>
        <v>145.19930775000003</v>
      </c>
      <c r="DA917" s="20">
        <f t="shared" si="33"/>
        <v>145.19930775000003</v>
      </c>
      <c r="DB917" s="20">
        <f t="shared" si="33"/>
        <v>145.18251685000001</v>
      </c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21">
        <f>SUM(H917:DL917)</f>
        <v>8395.4500000000007</v>
      </c>
    </row>
    <row r="918" spans="1:117" x14ac:dyDescent="0.3">
      <c r="A918" s="12"/>
      <c r="B918" s="13"/>
      <c r="C918" s="13"/>
      <c r="D918" s="13"/>
      <c r="E918" s="13"/>
      <c r="F918" s="13"/>
      <c r="G918" s="1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5">
        <v>0.15584899999999999</v>
      </c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5">
        <v>0.28138400000000002</v>
      </c>
      <c r="CS918" s="15">
        <v>0.28138400000000002</v>
      </c>
      <c r="CT918" s="15">
        <v>0.28138299999999999</v>
      </c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6">
        <f>SUM(H918:DL918)</f>
        <v>1</v>
      </c>
    </row>
    <row r="919" spans="1:117" x14ac:dyDescent="0.3">
      <c r="A919" s="17" t="s">
        <v>788</v>
      </c>
      <c r="B919" s="13" t="s">
        <v>789</v>
      </c>
      <c r="C919" s="13" t="s">
        <v>135</v>
      </c>
      <c r="D919" s="13">
        <v>7937.15</v>
      </c>
      <c r="E919" s="13">
        <f>65262.8331*B2</f>
        <v>65262.833100000003</v>
      </c>
      <c r="F919" s="13">
        <f>D919*E919</f>
        <v>518000895.73966503</v>
      </c>
      <c r="G919" s="14">
        <f>F919/A1</f>
        <v>6.6411355291449755E-3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8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8"/>
      <c r="CS919" s="18"/>
      <c r="CT919" s="18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9"/>
    </row>
    <row r="920" spans="1:117" x14ac:dyDescent="0.3">
      <c r="A920" s="12"/>
      <c r="B920" s="13"/>
      <c r="C920" s="13"/>
      <c r="D920" s="13"/>
      <c r="E920" s="13"/>
      <c r="F920" s="13"/>
      <c r="G920" s="1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20">
        <f>+$D919*BF918</f>
        <v>1236.9968903499998</v>
      </c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20">
        <f>+$D919*CR918</f>
        <v>2233.3870156000003</v>
      </c>
      <c r="CS920" s="20">
        <f>+$D919*CS918</f>
        <v>2233.3870156000003</v>
      </c>
      <c r="CT920" s="20">
        <f>+$D919*CT918</f>
        <v>2233.3790784499997</v>
      </c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21">
        <f>SUM(H920:DL920)</f>
        <v>7937.15</v>
      </c>
    </row>
    <row r="921" spans="1:117" x14ac:dyDescent="0.3">
      <c r="A921" s="12"/>
      <c r="B921" s="13"/>
      <c r="C921" s="13"/>
      <c r="D921" s="13"/>
      <c r="E921" s="13"/>
      <c r="F921" s="13"/>
      <c r="G921" s="1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5">
        <v>7.1400000000000005E-2</v>
      </c>
      <c r="CM921" s="15">
        <v>7.1400000000000005E-2</v>
      </c>
      <c r="CN921" s="15">
        <v>9.9959999999999993E-2</v>
      </c>
      <c r="CO921" s="15">
        <v>0.18931000000000001</v>
      </c>
      <c r="CP921" s="15">
        <v>0.18931000000000001</v>
      </c>
      <c r="CQ921" s="15">
        <v>0.18931000000000001</v>
      </c>
      <c r="CR921" s="15">
        <v>0.18931000000000001</v>
      </c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6">
        <f>SUM(H921:DL921)</f>
        <v>1</v>
      </c>
    </row>
    <row r="922" spans="1:117" x14ac:dyDescent="0.3">
      <c r="A922" s="17" t="s">
        <v>790</v>
      </c>
      <c r="B922" s="13" t="s">
        <v>791</v>
      </c>
      <c r="C922" s="13" t="s">
        <v>277</v>
      </c>
      <c r="D922" s="13">
        <v>21008.400000000001</v>
      </c>
      <c r="E922" s="13">
        <f>24796.3473*B2</f>
        <v>24796.347300000001</v>
      </c>
      <c r="F922" s="13">
        <f>D922*E922</f>
        <v>520931582.61732006</v>
      </c>
      <c r="G922" s="14">
        <f>F922/A1</f>
        <v>6.6787089945734516E-3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8"/>
      <c r="CM922" s="18"/>
      <c r="CN922" s="18"/>
      <c r="CO922" s="18"/>
      <c r="CP922" s="18"/>
      <c r="CQ922" s="18"/>
      <c r="CR922" s="18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9"/>
    </row>
    <row r="923" spans="1:117" x14ac:dyDescent="0.3">
      <c r="A923" s="12"/>
      <c r="B923" s="13"/>
      <c r="C923" s="13"/>
      <c r="D923" s="13"/>
      <c r="E923" s="13"/>
      <c r="F923" s="13"/>
      <c r="G923" s="1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20">
        <f t="shared" ref="CL923:CR923" si="34">+$D922*CL921</f>
        <v>1499.9997600000002</v>
      </c>
      <c r="CM923" s="20">
        <f t="shared" si="34"/>
        <v>1499.9997600000002</v>
      </c>
      <c r="CN923" s="20">
        <f t="shared" si="34"/>
        <v>2099.9996639999999</v>
      </c>
      <c r="CO923" s="20">
        <f t="shared" si="34"/>
        <v>3977.1002040000003</v>
      </c>
      <c r="CP923" s="20">
        <f t="shared" si="34"/>
        <v>3977.1002040000003</v>
      </c>
      <c r="CQ923" s="20">
        <f t="shared" si="34"/>
        <v>3977.1002040000003</v>
      </c>
      <c r="CR923" s="20">
        <f t="shared" si="34"/>
        <v>3977.1002040000003</v>
      </c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21">
        <f>SUM(H923:DL923)</f>
        <v>21008.400000000001</v>
      </c>
    </row>
    <row r="924" spans="1:117" x14ac:dyDescent="0.3">
      <c r="A924" s="12"/>
      <c r="B924" s="13"/>
      <c r="C924" s="13"/>
      <c r="D924" s="13"/>
      <c r="E924" s="13"/>
      <c r="F924" s="13"/>
      <c r="G924" s="1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5">
        <v>0.25</v>
      </c>
      <c r="CT924" s="13"/>
      <c r="CU924" s="13"/>
      <c r="CV924" s="15">
        <v>0.25</v>
      </c>
      <c r="CW924" s="13"/>
      <c r="CX924" s="13"/>
      <c r="CY924" s="15">
        <v>0.25</v>
      </c>
      <c r="CZ924" s="13"/>
      <c r="DA924" s="13"/>
      <c r="DB924" s="15">
        <v>0.25</v>
      </c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6">
        <f>SUM(H924:DL924)</f>
        <v>1</v>
      </c>
    </row>
    <row r="925" spans="1:117" x14ac:dyDescent="0.3">
      <c r="A925" s="17" t="s">
        <v>792</v>
      </c>
      <c r="B925" s="13" t="s">
        <v>793</v>
      </c>
      <c r="C925" s="13" t="s">
        <v>280</v>
      </c>
      <c r="D925" s="13">
        <v>336</v>
      </c>
      <c r="E925" s="13">
        <f>143990.9837*B2</f>
        <v>143990.98370000001</v>
      </c>
      <c r="F925" s="13">
        <f>D925*E925</f>
        <v>48380970.523200005</v>
      </c>
      <c r="G925" s="14">
        <f>F925/A1</f>
        <v>6.2027804376156798E-4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8"/>
      <c r="CT925" s="13"/>
      <c r="CU925" s="13"/>
      <c r="CV925" s="18"/>
      <c r="CW925" s="13"/>
      <c r="CX925" s="13"/>
      <c r="CY925" s="18"/>
      <c r="CZ925" s="13"/>
      <c r="DA925" s="13"/>
      <c r="DB925" s="18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9"/>
    </row>
    <row r="926" spans="1:117" x14ac:dyDescent="0.3">
      <c r="A926" s="12"/>
      <c r="B926" s="13"/>
      <c r="C926" s="13"/>
      <c r="D926" s="13"/>
      <c r="E926" s="13"/>
      <c r="F926" s="13"/>
      <c r="G926" s="1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20">
        <f>+$D925*CS924</f>
        <v>84</v>
      </c>
      <c r="CT926" s="13"/>
      <c r="CU926" s="13"/>
      <c r="CV926" s="20">
        <f>+$D925*CV924</f>
        <v>84</v>
      </c>
      <c r="CW926" s="13"/>
      <c r="CX926" s="13"/>
      <c r="CY926" s="20">
        <f>+$D925*CY924</f>
        <v>84</v>
      </c>
      <c r="CZ926" s="13"/>
      <c r="DA926" s="13"/>
      <c r="DB926" s="20">
        <f>+$D925*DB924</f>
        <v>84</v>
      </c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21">
        <f>SUM(H926:DL926)</f>
        <v>336</v>
      </c>
    </row>
    <row r="927" spans="1:117" x14ac:dyDescent="0.3">
      <c r="A927" s="12"/>
      <c r="B927" s="13"/>
      <c r="C927" s="13"/>
      <c r="D927" s="13"/>
      <c r="E927" s="13"/>
      <c r="F927" s="13"/>
      <c r="G927" s="1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5">
        <v>0.5</v>
      </c>
      <c r="CS927" s="15">
        <v>0.5</v>
      </c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6">
        <f>SUM(H927:DL927)</f>
        <v>1</v>
      </c>
    </row>
    <row r="928" spans="1:117" x14ac:dyDescent="0.3">
      <c r="A928" s="17" t="s">
        <v>794</v>
      </c>
      <c r="B928" s="13" t="s">
        <v>795</v>
      </c>
      <c r="C928" s="13" t="s">
        <v>280</v>
      </c>
      <c r="D928" s="13">
        <v>2</v>
      </c>
      <c r="E928" s="13">
        <f>167238071.02*B2</f>
        <v>167238071.02000001</v>
      </c>
      <c r="F928" s="13">
        <f>D928*E928</f>
        <v>334476142.04000002</v>
      </c>
      <c r="G928" s="14">
        <f>F928/A1</f>
        <v>4.2882192073844579E-3</v>
      </c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8"/>
      <c r="CS928" s="18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9"/>
    </row>
    <row r="929" spans="1:117" x14ac:dyDescent="0.3">
      <c r="A929" s="12"/>
      <c r="B929" s="13"/>
      <c r="C929" s="13"/>
      <c r="D929" s="13"/>
      <c r="E929" s="13"/>
      <c r="F929" s="13"/>
      <c r="G929" s="1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20">
        <f>+$D928*CR927</f>
        <v>1</v>
      </c>
      <c r="CS929" s="20">
        <f>+$D928*CS927</f>
        <v>1</v>
      </c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21">
        <f>SUM(H929:DL929)</f>
        <v>2</v>
      </c>
    </row>
    <row r="930" spans="1:117" x14ac:dyDescent="0.3">
      <c r="A930" s="12"/>
      <c r="B930" s="13"/>
      <c r="C930" s="13"/>
      <c r="D930" s="13"/>
      <c r="E930" s="13"/>
      <c r="F930" s="13"/>
      <c r="G930" s="1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5">
        <v>0.5</v>
      </c>
      <c r="CS930" s="15">
        <v>0.5</v>
      </c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6">
        <f>SUM(H930:DL930)</f>
        <v>1</v>
      </c>
    </row>
    <row r="931" spans="1:117" x14ac:dyDescent="0.3">
      <c r="A931" s="17" t="s">
        <v>796</v>
      </c>
      <c r="B931" s="13" t="s">
        <v>797</v>
      </c>
      <c r="C931" s="13" t="s">
        <v>280</v>
      </c>
      <c r="D931" s="13">
        <v>2</v>
      </c>
      <c r="E931" s="13">
        <f>182915837.478*B2</f>
        <v>182915837.47799999</v>
      </c>
      <c r="F931" s="13">
        <f>D931*E931</f>
        <v>365831674.95599997</v>
      </c>
      <c r="G931" s="14">
        <f>F931/A1</f>
        <v>4.690219175717286E-3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8"/>
      <c r="CS931" s="18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9"/>
    </row>
    <row r="932" spans="1:117" x14ac:dyDescent="0.3">
      <c r="A932" s="12"/>
      <c r="B932" s="13"/>
      <c r="C932" s="13"/>
      <c r="D932" s="13"/>
      <c r="E932" s="13"/>
      <c r="F932" s="13"/>
      <c r="G932" s="1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20">
        <f>+$D931*CR930</f>
        <v>1</v>
      </c>
      <c r="CS932" s="20">
        <f>+$D931*CS930</f>
        <v>1</v>
      </c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21">
        <f>SUM(H932:DL932)</f>
        <v>2</v>
      </c>
    </row>
    <row r="933" spans="1:117" x14ac:dyDescent="0.3">
      <c r="A933" s="12"/>
      <c r="B933" s="13"/>
      <c r="C933" s="13"/>
      <c r="D933" s="13"/>
      <c r="E933" s="13"/>
      <c r="F933" s="13"/>
      <c r="G933" s="1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5">
        <v>0.5</v>
      </c>
      <c r="CS933" s="15">
        <v>0.5</v>
      </c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6">
        <f>SUM(H933:DL933)</f>
        <v>1</v>
      </c>
    </row>
    <row r="934" spans="1:117" x14ac:dyDescent="0.3">
      <c r="A934" s="17" t="s">
        <v>798</v>
      </c>
      <c r="B934" s="13" t="s">
        <v>799</v>
      </c>
      <c r="C934" s="13" t="s">
        <v>280</v>
      </c>
      <c r="D934" s="13">
        <v>2</v>
      </c>
      <c r="E934" s="13">
        <f>69654264.3854*B2</f>
        <v>69654264.385399997</v>
      </c>
      <c r="F934" s="13">
        <f>D934*E934</f>
        <v>139308528.77079999</v>
      </c>
      <c r="G934" s="14">
        <f>F934/A1</f>
        <v>1.7860332434591808E-3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8"/>
      <c r="CS934" s="18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9"/>
    </row>
    <row r="935" spans="1:117" x14ac:dyDescent="0.3">
      <c r="A935" s="12"/>
      <c r="B935" s="13"/>
      <c r="C935" s="13"/>
      <c r="D935" s="13"/>
      <c r="E935" s="13"/>
      <c r="F935" s="13"/>
      <c r="G935" s="1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20">
        <f>+$D934*CR933</f>
        <v>1</v>
      </c>
      <c r="CS935" s="20">
        <f>+$D934*CS933</f>
        <v>1</v>
      </c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21">
        <f>SUM(H935:DL935)</f>
        <v>2</v>
      </c>
    </row>
    <row r="936" spans="1:117" x14ac:dyDescent="0.3">
      <c r="A936" s="12"/>
      <c r="B936" s="13"/>
      <c r="C936" s="13"/>
      <c r="D936" s="13"/>
      <c r="E936" s="13"/>
      <c r="F936" s="13"/>
      <c r="G936" s="1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5">
        <v>0.5</v>
      </c>
      <c r="CU936" s="15">
        <v>0.5</v>
      </c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6">
        <f>SUM(H936:DL936)</f>
        <v>1</v>
      </c>
    </row>
    <row r="937" spans="1:117" x14ac:dyDescent="0.3">
      <c r="A937" s="17" t="s">
        <v>800</v>
      </c>
      <c r="B937" s="13" t="s">
        <v>801</v>
      </c>
      <c r="C937" s="13" t="s">
        <v>126</v>
      </c>
      <c r="D937" s="13">
        <v>195.3</v>
      </c>
      <c r="E937" s="13">
        <f>3625667.0842*B2</f>
        <v>3625667.0841999999</v>
      </c>
      <c r="F937" s="13">
        <f>D937*E937</f>
        <v>708092781.54426003</v>
      </c>
      <c r="G937" s="14">
        <f>F937/A1</f>
        <v>9.0782470998043638E-3</v>
      </c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8"/>
      <c r="CU937" s="18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9"/>
    </row>
    <row r="938" spans="1:117" x14ac:dyDescent="0.3">
      <c r="A938" s="12"/>
      <c r="B938" s="13"/>
      <c r="C938" s="13"/>
      <c r="D938" s="13"/>
      <c r="E938" s="13"/>
      <c r="F938" s="13"/>
      <c r="G938" s="1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20">
        <f>+$D937*CT936</f>
        <v>97.65</v>
      </c>
      <c r="CU938" s="20">
        <f>+$D937*CU936</f>
        <v>97.65</v>
      </c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21">
        <f>SUM(H938:DL938)</f>
        <v>195.3</v>
      </c>
    </row>
    <row r="939" spans="1:117" x14ac:dyDescent="0.3">
      <c r="A939" s="12"/>
      <c r="B939" s="13"/>
      <c r="C939" s="13"/>
      <c r="D939" s="13"/>
      <c r="E939" s="13"/>
      <c r="F939" s="13"/>
      <c r="G939" s="1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5">
        <v>1</v>
      </c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6">
        <f>SUM(H939:DL939)</f>
        <v>1</v>
      </c>
    </row>
    <row r="940" spans="1:117" x14ac:dyDescent="0.3">
      <c r="A940" s="17" t="s">
        <v>802</v>
      </c>
      <c r="B940" s="13" t="s">
        <v>803</v>
      </c>
      <c r="C940" s="13" t="s">
        <v>804</v>
      </c>
      <c r="D940" s="13">
        <v>1</v>
      </c>
      <c r="E940" s="13">
        <f>11004127.224*B2</f>
        <v>11004127.223999999</v>
      </c>
      <c r="F940" s="13">
        <f>D940*E940</f>
        <v>11004127.223999999</v>
      </c>
      <c r="G940" s="14">
        <f>F940/A1</f>
        <v>1.4108064460040257E-4</v>
      </c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8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9"/>
    </row>
    <row r="941" spans="1:117" x14ac:dyDescent="0.3">
      <c r="A941" s="12"/>
      <c r="B941" s="13"/>
      <c r="C941" s="13"/>
      <c r="D941" s="13"/>
      <c r="E941" s="13"/>
      <c r="F941" s="13"/>
      <c r="G941" s="1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20">
        <f>+$D940*DB939</f>
        <v>1</v>
      </c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21">
        <f>SUM(H941:DL941)</f>
        <v>1</v>
      </c>
    </row>
    <row r="942" spans="1:117" x14ac:dyDescent="0.3">
      <c r="A942" s="8" t="s">
        <v>805</v>
      </c>
      <c r="B942" s="9" t="s">
        <v>806</v>
      </c>
      <c r="C942" s="9"/>
      <c r="D942" s="9"/>
      <c r="E942" s="9"/>
      <c r="F942" s="9"/>
      <c r="G942" s="1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11"/>
    </row>
    <row r="943" spans="1:117" x14ac:dyDescent="0.3">
      <c r="A943" s="12"/>
      <c r="B943" s="13"/>
      <c r="C943" s="13"/>
      <c r="D943" s="13"/>
      <c r="E943" s="13"/>
      <c r="F943" s="13"/>
      <c r="G943" s="1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5">
        <v>1</v>
      </c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6">
        <f>SUM(H943:DL943)</f>
        <v>1</v>
      </c>
    </row>
    <row r="944" spans="1:117" x14ac:dyDescent="0.3">
      <c r="A944" s="17" t="s">
        <v>807</v>
      </c>
      <c r="B944" s="13" t="s">
        <v>808</v>
      </c>
      <c r="C944" s="13" t="s">
        <v>135</v>
      </c>
      <c r="D944" s="13">
        <v>10.199999999999999</v>
      </c>
      <c r="E944" s="13">
        <f>42197.6*B2</f>
        <v>42197.599999999999</v>
      </c>
      <c r="F944" s="13">
        <f>D944*E944</f>
        <v>430415.51999999996</v>
      </c>
      <c r="G944" s="14">
        <f>F944/A1</f>
        <v>5.5182294580509718E-6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8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9"/>
    </row>
    <row r="945" spans="1:117" x14ac:dyDescent="0.3">
      <c r="A945" s="12"/>
      <c r="B945" s="13"/>
      <c r="C945" s="13"/>
      <c r="D945" s="13"/>
      <c r="E945" s="13"/>
      <c r="F945" s="13"/>
      <c r="G945" s="1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20">
        <f>+$D944*CT943</f>
        <v>10.199999999999999</v>
      </c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21">
        <f>SUM(H945:DL945)</f>
        <v>10.199999999999999</v>
      </c>
    </row>
    <row r="946" spans="1:117" x14ac:dyDescent="0.3">
      <c r="A946" s="12"/>
      <c r="B946" s="13"/>
      <c r="C946" s="13"/>
      <c r="D946" s="13"/>
      <c r="E946" s="13"/>
      <c r="F946" s="13"/>
      <c r="G946" s="1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5">
        <v>1</v>
      </c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6">
        <f>SUM(H946:DL946)</f>
        <v>1</v>
      </c>
    </row>
    <row r="947" spans="1:117" x14ac:dyDescent="0.3">
      <c r="A947" s="17" t="s">
        <v>809</v>
      </c>
      <c r="B947" s="13" t="s">
        <v>810</v>
      </c>
      <c r="C947" s="13" t="s">
        <v>135</v>
      </c>
      <c r="D947" s="13">
        <v>2.12</v>
      </c>
      <c r="E947" s="13">
        <f>409405.8047*B2</f>
        <v>409405.80469999998</v>
      </c>
      <c r="F947" s="13">
        <f>D947*E947</f>
        <v>867940.30596399994</v>
      </c>
      <c r="G947" s="14">
        <f>F947/A1</f>
        <v>1.1127604702080256E-5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8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9"/>
    </row>
    <row r="948" spans="1:117" x14ac:dyDescent="0.3">
      <c r="A948" s="12"/>
      <c r="B948" s="13"/>
      <c r="C948" s="13"/>
      <c r="D948" s="13"/>
      <c r="E948" s="13"/>
      <c r="F948" s="13"/>
      <c r="G948" s="1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20">
        <f>+$D947*CT946</f>
        <v>2.12</v>
      </c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21">
        <f>SUM(H948:DL948)</f>
        <v>2.12</v>
      </c>
    </row>
    <row r="949" spans="1:117" x14ac:dyDescent="0.3">
      <c r="A949" s="12"/>
      <c r="B949" s="13"/>
      <c r="C949" s="13"/>
      <c r="D949" s="13"/>
      <c r="E949" s="13"/>
      <c r="F949" s="13"/>
      <c r="G949" s="1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5">
        <v>0.75</v>
      </c>
      <c r="CU949" s="15">
        <v>0.25</v>
      </c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6">
        <f>SUM(H949:DL949)</f>
        <v>1</v>
      </c>
    </row>
    <row r="950" spans="1:117" x14ac:dyDescent="0.3">
      <c r="A950" s="17" t="s">
        <v>811</v>
      </c>
      <c r="B950" s="13" t="s">
        <v>812</v>
      </c>
      <c r="C950" s="13" t="s">
        <v>135</v>
      </c>
      <c r="D950" s="13">
        <v>34.49</v>
      </c>
      <c r="E950" s="13">
        <f>651342.0141*B2</f>
        <v>651342.01410000003</v>
      </c>
      <c r="F950" s="13">
        <f>D950*E950</f>
        <v>22464786.066309001</v>
      </c>
      <c r="G950" s="14">
        <f>F950/A1</f>
        <v>2.8801434539330587E-4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8"/>
      <c r="CU950" s="18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9"/>
    </row>
    <row r="951" spans="1:117" x14ac:dyDescent="0.3">
      <c r="A951" s="12"/>
      <c r="B951" s="13"/>
      <c r="C951" s="13"/>
      <c r="D951" s="13"/>
      <c r="E951" s="13"/>
      <c r="F951" s="13"/>
      <c r="G951" s="1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20">
        <f>+$D950*CT949</f>
        <v>25.8675</v>
      </c>
      <c r="CU951" s="20">
        <f>+$D950*CU949</f>
        <v>8.6225000000000005</v>
      </c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21">
        <f>SUM(H951:DL951)</f>
        <v>34.49</v>
      </c>
    </row>
    <row r="952" spans="1:117" x14ac:dyDescent="0.3">
      <c r="A952" s="12"/>
      <c r="B952" s="13"/>
      <c r="C952" s="13"/>
      <c r="D952" s="13"/>
      <c r="E952" s="13"/>
      <c r="F952" s="13"/>
      <c r="G952" s="1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5">
        <v>1</v>
      </c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6">
        <f>SUM(H952:DL952)</f>
        <v>1</v>
      </c>
    </row>
    <row r="953" spans="1:117" x14ac:dyDescent="0.3">
      <c r="A953" s="17" t="s">
        <v>813</v>
      </c>
      <c r="B953" s="13" t="s">
        <v>814</v>
      </c>
      <c r="C953" s="13" t="s">
        <v>135</v>
      </c>
      <c r="D953" s="13">
        <v>7.54</v>
      </c>
      <c r="E953" s="13">
        <f>65276.9503*B2</f>
        <v>65276.950299999997</v>
      </c>
      <c r="F953" s="13">
        <f>D953*E953</f>
        <v>492188.20526199997</v>
      </c>
      <c r="G953" s="14">
        <f>F953/A1</f>
        <v>6.3101986963249071E-6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8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9"/>
    </row>
    <row r="954" spans="1:117" x14ac:dyDescent="0.3">
      <c r="A954" s="12"/>
      <c r="B954" s="13"/>
      <c r="C954" s="13"/>
      <c r="D954" s="13"/>
      <c r="E954" s="13"/>
      <c r="F954" s="13"/>
      <c r="G954" s="1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20">
        <f>+$D953*CU952</f>
        <v>7.54</v>
      </c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21">
        <f>SUM(H954:DL954)</f>
        <v>7.54</v>
      </c>
    </row>
    <row r="955" spans="1:117" x14ac:dyDescent="0.3">
      <c r="A955" s="12"/>
      <c r="B955" s="13"/>
      <c r="C955" s="13"/>
      <c r="D955" s="13"/>
      <c r="E955" s="13"/>
      <c r="F955" s="13"/>
      <c r="G955" s="1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5">
        <v>1</v>
      </c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6">
        <f>SUM(H955:DL955)</f>
        <v>1</v>
      </c>
    </row>
    <row r="956" spans="1:117" x14ac:dyDescent="0.3">
      <c r="A956" s="17" t="s">
        <v>815</v>
      </c>
      <c r="B956" s="13" t="s">
        <v>816</v>
      </c>
      <c r="C956" s="13" t="s">
        <v>277</v>
      </c>
      <c r="D956" s="13">
        <v>80.28</v>
      </c>
      <c r="E956" s="13">
        <f>105914.2521*B2</f>
        <v>105914.2521</v>
      </c>
      <c r="F956" s="13">
        <f>D956*E956</f>
        <v>8502796.1585879996</v>
      </c>
      <c r="G956" s="14">
        <f>F956/A1</f>
        <v>1.090118224317816E-4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8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9"/>
    </row>
    <row r="957" spans="1:117" x14ac:dyDescent="0.3">
      <c r="A957" s="12"/>
      <c r="B957" s="13"/>
      <c r="C957" s="13"/>
      <c r="D957" s="13"/>
      <c r="E957" s="13"/>
      <c r="F957" s="13"/>
      <c r="G957" s="1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20">
        <f>+$D956*CU955</f>
        <v>80.28</v>
      </c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21">
        <f>SUM(H957:DL957)</f>
        <v>80.28</v>
      </c>
    </row>
    <row r="958" spans="1:117" x14ac:dyDescent="0.3">
      <c r="A958" s="12"/>
      <c r="B958" s="13"/>
      <c r="C958" s="13"/>
      <c r="D958" s="13"/>
      <c r="E958" s="13"/>
      <c r="F958" s="13"/>
      <c r="G958" s="1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5">
        <v>1</v>
      </c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6">
        <f>SUM(H958:DL958)</f>
        <v>1</v>
      </c>
    </row>
    <row r="959" spans="1:117" x14ac:dyDescent="0.3">
      <c r="A959" s="17" t="s">
        <v>817</v>
      </c>
      <c r="B959" s="13" t="s">
        <v>818</v>
      </c>
      <c r="C959" s="13" t="s">
        <v>135</v>
      </c>
      <c r="D959" s="13">
        <v>12.1</v>
      </c>
      <c r="E959" s="13">
        <f>537905.1714*B2</f>
        <v>537905.17139999999</v>
      </c>
      <c r="F959" s="13">
        <f>D959*E959</f>
        <v>6508652.5739399996</v>
      </c>
      <c r="G959" s="14">
        <f>F959/A1</f>
        <v>8.344550021275949E-5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8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9"/>
    </row>
    <row r="960" spans="1:117" x14ac:dyDescent="0.3">
      <c r="A960" s="12"/>
      <c r="B960" s="13"/>
      <c r="C960" s="13"/>
      <c r="D960" s="13"/>
      <c r="E960" s="13"/>
      <c r="F960" s="13"/>
      <c r="G960" s="1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20">
        <f>+$D959*CU958</f>
        <v>12.1</v>
      </c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21">
        <f>SUM(H960:DL960)</f>
        <v>12.1</v>
      </c>
    </row>
    <row r="961" spans="1:117" x14ac:dyDescent="0.3">
      <c r="A961" s="12"/>
      <c r="B961" s="13"/>
      <c r="C961" s="13"/>
      <c r="D961" s="13"/>
      <c r="E961" s="13"/>
      <c r="F961" s="13"/>
      <c r="G961" s="1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5">
        <v>1</v>
      </c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6">
        <f>SUM(H961:DL961)</f>
        <v>1</v>
      </c>
    </row>
    <row r="962" spans="1:117" x14ac:dyDescent="0.3">
      <c r="A962" s="17" t="s">
        <v>819</v>
      </c>
      <c r="B962" s="13" t="s">
        <v>820</v>
      </c>
      <c r="C962" s="13" t="s">
        <v>277</v>
      </c>
      <c r="D962" s="13">
        <v>168.65</v>
      </c>
      <c r="E962" s="13">
        <f>0*B2</f>
        <v>0</v>
      </c>
      <c r="F962" s="13">
        <f>D962*E962</f>
        <v>0</v>
      </c>
      <c r="G962" s="14">
        <f>F962/A1</f>
        <v>0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8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9"/>
    </row>
    <row r="963" spans="1:117" x14ac:dyDescent="0.3">
      <c r="A963" s="12"/>
      <c r="B963" s="13"/>
      <c r="C963" s="13"/>
      <c r="D963" s="13"/>
      <c r="E963" s="13"/>
      <c r="F963" s="13"/>
      <c r="G963" s="1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20">
        <f>+$D962*CV961</f>
        <v>168.65</v>
      </c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21">
        <f>SUM(H963:DL963)</f>
        <v>168.65</v>
      </c>
    </row>
    <row r="964" spans="1:117" x14ac:dyDescent="0.3">
      <c r="A964" s="12"/>
      <c r="B964" s="13"/>
      <c r="C964" s="13"/>
      <c r="D964" s="13"/>
      <c r="E964" s="13"/>
      <c r="F964" s="13"/>
      <c r="G964" s="1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5">
        <v>1</v>
      </c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6">
        <f>SUM(H964:DL964)</f>
        <v>1</v>
      </c>
    </row>
    <row r="965" spans="1:117" x14ac:dyDescent="0.3">
      <c r="A965" s="17" t="s">
        <v>821</v>
      </c>
      <c r="B965" s="13" t="s">
        <v>822</v>
      </c>
      <c r="C965" s="13" t="s">
        <v>277</v>
      </c>
      <c r="D965" s="13">
        <v>155.18</v>
      </c>
      <c r="E965" s="13">
        <f>0*B2</f>
        <v>0</v>
      </c>
      <c r="F965" s="13">
        <f>D965*E965</f>
        <v>0</v>
      </c>
      <c r="G965" s="14">
        <f>F965/A1</f>
        <v>0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8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9"/>
    </row>
    <row r="966" spans="1:117" x14ac:dyDescent="0.3">
      <c r="A966" s="12"/>
      <c r="B966" s="13"/>
      <c r="C966" s="13"/>
      <c r="D966" s="13"/>
      <c r="E966" s="13"/>
      <c r="F966" s="13"/>
      <c r="G966" s="1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20">
        <f>+$D965*CV964</f>
        <v>155.18</v>
      </c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21">
        <f>SUM(H966:DL966)</f>
        <v>155.18</v>
      </c>
    </row>
    <row r="967" spans="1:117" x14ac:dyDescent="0.3">
      <c r="A967" s="12"/>
      <c r="B967" s="13"/>
      <c r="C967" s="13"/>
      <c r="D967" s="13"/>
      <c r="E967" s="13"/>
      <c r="F967" s="13"/>
      <c r="G967" s="1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5">
        <v>1</v>
      </c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6">
        <f>SUM(H967:DL967)</f>
        <v>1</v>
      </c>
    </row>
    <row r="968" spans="1:117" x14ac:dyDescent="0.3">
      <c r="A968" s="17" t="s">
        <v>823</v>
      </c>
      <c r="B968" s="13" t="s">
        <v>824</v>
      </c>
      <c r="C968" s="13" t="s">
        <v>319</v>
      </c>
      <c r="D968" s="13">
        <v>1</v>
      </c>
      <c r="E968" s="13">
        <f>73134818.064*B2</f>
        <v>73134818.063999996</v>
      </c>
      <c r="F968" s="13">
        <f>D968*E968</f>
        <v>73134818.063999996</v>
      </c>
      <c r="G968" s="14">
        <f>F968/A1</f>
        <v>9.3763976598697728E-4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8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9"/>
    </row>
    <row r="969" spans="1:117" x14ac:dyDescent="0.3">
      <c r="A969" s="12"/>
      <c r="B969" s="13"/>
      <c r="C969" s="13"/>
      <c r="D969" s="13"/>
      <c r="E969" s="13"/>
      <c r="F969" s="13"/>
      <c r="G969" s="1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20">
        <f>+$D968*CV967</f>
        <v>1</v>
      </c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21">
        <f>SUM(H969:DL969)</f>
        <v>1</v>
      </c>
    </row>
    <row r="970" spans="1:117" x14ac:dyDescent="0.3">
      <c r="A970" s="12"/>
      <c r="B970" s="13"/>
      <c r="C970" s="13"/>
      <c r="D970" s="13"/>
      <c r="E970" s="13"/>
      <c r="F970" s="13"/>
      <c r="G970" s="1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5">
        <v>1</v>
      </c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6">
        <f>SUM(H970:DL970)</f>
        <v>1</v>
      </c>
    </row>
    <row r="971" spans="1:117" x14ac:dyDescent="0.3">
      <c r="A971" s="17" t="s">
        <v>825</v>
      </c>
      <c r="B971" s="13" t="s">
        <v>826</v>
      </c>
      <c r="C971" s="13" t="s">
        <v>135</v>
      </c>
      <c r="D971" s="13">
        <v>4</v>
      </c>
      <c r="E971" s="13">
        <f>383146.7973*B2</f>
        <v>383146.79729999998</v>
      </c>
      <c r="F971" s="13">
        <f>D971*E971</f>
        <v>1532587.1891999999</v>
      </c>
      <c r="G971" s="14">
        <f>F971/A1</f>
        <v>1.9648844852237156E-5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8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9"/>
    </row>
    <row r="972" spans="1:117" x14ac:dyDescent="0.3">
      <c r="A972" s="12"/>
      <c r="B972" s="13"/>
      <c r="C972" s="13"/>
      <c r="D972" s="13"/>
      <c r="E972" s="13"/>
      <c r="F972" s="13"/>
      <c r="G972" s="1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20">
        <f>+$D971*CU970</f>
        <v>4</v>
      </c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21">
        <f>SUM(H972:DL972)</f>
        <v>4</v>
      </c>
    </row>
    <row r="973" spans="1:117" x14ac:dyDescent="0.3">
      <c r="A973" s="12"/>
      <c r="B973" s="13"/>
      <c r="C973" s="13"/>
      <c r="D973" s="13"/>
      <c r="E973" s="13"/>
      <c r="F973" s="13"/>
      <c r="G973" s="1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5">
        <v>1</v>
      </c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6">
        <f>SUM(H973:DL973)</f>
        <v>1</v>
      </c>
    </row>
    <row r="974" spans="1:117" x14ac:dyDescent="0.3">
      <c r="A974" s="17" t="s">
        <v>827</v>
      </c>
      <c r="B974" s="13" t="s">
        <v>828</v>
      </c>
      <c r="C974" s="13" t="s">
        <v>126</v>
      </c>
      <c r="D974" s="13">
        <v>38.200000000000003</v>
      </c>
      <c r="E974" s="13">
        <f>0*B2</f>
        <v>0</v>
      </c>
      <c r="F974" s="13">
        <f>D974*E974</f>
        <v>0</v>
      </c>
      <c r="G974" s="14">
        <f>F974/A1</f>
        <v>0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8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9"/>
    </row>
    <row r="975" spans="1:117" x14ac:dyDescent="0.3">
      <c r="A975" s="12"/>
      <c r="B975" s="13"/>
      <c r="C975" s="13"/>
      <c r="D975" s="13"/>
      <c r="E975" s="13"/>
      <c r="F975" s="13"/>
      <c r="G975" s="1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20">
        <f>+$D974*CV973</f>
        <v>38.200000000000003</v>
      </c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21">
        <f>SUM(H975:DL975)</f>
        <v>38.200000000000003</v>
      </c>
    </row>
    <row r="976" spans="1:117" x14ac:dyDescent="0.3">
      <c r="A976" s="12"/>
      <c r="B976" s="13"/>
      <c r="C976" s="13"/>
      <c r="D976" s="13"/>
      <c r="E976" s="13"/>
      <c r="F976" s="13"/>
      <c r="G976" s="1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5">
        <v>1</v>
      </c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6">
        <f>SUM(H976:DL976)</f>
        <v>1</v>
      </c>
    </row>
    <row r="977" spans="1:117" x14ac:dyDescent="0.3">
      <c r="A977" s="17" t="s">
        <v>829</v>
      </c>
      <c r="B977" s="13" t="s">
        <v>830</v>
      </c>
      <c r="C977" s="13" t="s">
        <v>277</v>
      </c>
      <c r="D977" s="13">
        <v>168.65</v>
      </c>
      <c r="E977" s="13">
        <f>0*B2</f>
        <v>0</v>
      </c>
      <c r="F977" s="13">
        <f>D977*E977</f>
        <v>0</v>
      </c>
      <c r="G977" s="14">
        <f>F977/A1</f>
        <v>0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8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9"/>
    </row>
    <row r="978" spans="1:117" x14ac:dyDescent="0.3">
      <c r="A978" s="12"/>
      <c r="B978" s="13"/>
      <c r="C978" s="13"/>
      <c r="D978" s="13"/>
      <c r="E978" s="13"/>
      <c r="F978" s="13"/>
      <c r="G978" s="1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20">
        <f>+$D977*CV976</f>
        <v>168.65</v>
      </c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21">
        <f>SUM(H978:DL978)</f>
        <v>168.65</v>
      </c>
    </row>
    <row r="979" spans="1:117" x14ac:dyDescent="0.3">
      <c r="A979" s="12"/>
      <c r="B979" s="13"/>
      <c r="C979" s="13"/>
      <c r="D979" s="13"/>
      <c r="E979" s="13"/>
      <c r="F979" s="13"/>
      <c r="G979" s="1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5">
        <v>1</v>
      </c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6">
        <f>SUM(H979:DL979)</f>
        <v>1</v>
      </c>
    </row>
    <row r="980" spans="1:117" x14ac:dyDescent="0.3">
      <c r="A980" s="17" t="s">
        <v>831</v>
      </c>
      <c r="B980" s="13" t="s">
        <v>832</v>
      </c>
      <c r="C980" s="13" t="s">
        <v>277</v>
      </c>
      <c r="D980" s="13">
        <v>19.100000000000001</v>
      </c>
      <c r="E980" s="13">
        <f>62910.8571*B2</f>
        <v>62910.857100000001</v>
      </c>
      <c r="F980" s="13">
        <f>D980*E980</f>
        <v>1201597.3706100001</v>
      </c>
      <c r="G980" s="14">
        <f>F980/A1</f>
        <v>1.5405322761634371E-5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8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9"/>
    </row>
    <row r="981" spans="1:117" x14ac:dyDescent="0.3">
      <c r="A981" s="12"/>
      <c r="B981" s="13"/>
      <c r="C981" s="13"/>
      <c r="D981" s="13"/>
      <c r="E981" s="13"/>
      <c r="F981" s="13"/>
      <c r="G981" s="1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20">
        <f>+$D980*CV979</f>
        <v>19.100000000000001</v>
      </c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21">
        <f>SUM(H981:DL981)</f>
        <v>19.100000000000001</v>
      </c>
    </row>
    <row r="982" spans="1:117" x14ac:dyDescent="0.3">
      <c r="A982" s="12"/>
      <c r="B982" s="13"/>
      <c r="C982" s="13"/>
      <c r="D982" s="13"/>
      <c r="E982" s="13"/>
      <c r="F982" s="13"/>
      <c r="G982" s="1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5">
        <v>1</v>
      </c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6">
        <f>SUM(H982:DL982)</f>
        <v>1</v>
      </c>
    </row>
    <row r="983" spans="1:117" x14ac:dyDescent="0.3">
      <c r="A983" s="17" t="s">
        <v>833</v>
      </c>
      <c r="B983" s="13" t="s">
        <v>834</v>
      </c>
      <c r="C983" s="13" t="s">
        <v>277</v>
      </c>
      <c r="D983" s="13">
        <v>80.28</v>
      </c>
      <c r="E983" s="13">
        <f>0*B2</f>
        <v>0</v>
      </c>
      <c r="F983" s="13">
        <f>D983*E983</f>
        <v>0</v>
      </c>
      <c r="G983" s="14">
        <f>F983/A1</f>
        <v>0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8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9"/>
    </row>
    <row r="984" spans="1:117" x14ac:dyDescent="0.3">
      <c r="A984" s="12"/>
      <c r="B984" s="13"/>
      <c r="C984" s="13"/>
      <c r="D984" s="13"/>
      <c r="E984" s="13"/>
      <c r="F984" s="13"/>
      <c r="G984" s="1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20">
        <f>+$D983*CV982</f>
        <v>80.28</v>
      </c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21">
        <f>SUM(H984:DL984)</f>
        <v>80.28</v>
      </c>
    </row>
    <row r="985" spans="1:117" x14ac:dyDescent="0.3">
      <c r="A985" s="12"/>
      <c r="B985" s="13"/>
      <c r="C985" s="13"/>
      <c r="D985" s="13"/>
      <c r="E985" s="13"/>
      <c r="F985" s="13"/>
      <c r="G985" s="1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5">
        <v>1</v>
      </c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6">
        <f>SUM(H985:DL985)</f>
        <v>1</v>
      </c>
    </row>
    <row r="986" spans="1:117" x14ac:dyDescent="0.3">
      <c r="A986" s="17" t="s">
        <v>835</v>
      </c>
      <c r="B986" s="13" t="s">
        <v>836</v>
      </c>
      <c r="C986" s="13" t="s">
        <v>277</v>
      </c>
      <c r="D986" s="13">
        <v>155.18</v>
      </c>
      <c r="E986" s="13">
        <f>0*B2</f>
        <v>0</v>
      </c>
      <c r="F986" s="13">
        <f>D986*E986</f>
        <v>0</v>
      </c>
      <c r="G986" s="14">
        <f>F986/A1</f>
        <v>0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8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9"/>
    </row>
    <row r="987" spans="1:117" x14ac:dyDescent="0.3">
      <c r="A987" s="12"/>
      <c r="B987" s="13"/>
      <c r="C987" s="13"/>
      <c r="D987" s="13"/>
      <c r="E987" s="13"/>
      <c r="F987" s="13"/>
      <c r="G987" s="1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20">
        <f>+$D986*CW985</f>
        <v>155.18</v>
      </c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21">
        <f>SUM(H987:DL987)</f>
        <v>155.18</v>
      </c>
    </row>
    <row r="988" spans="1:117" x14ac:dyDescent="0.3">
      <c r="A988" s="12"/>
      <c r="B988" s="13"/>
      <c r="C988" s="13"/>
      <c r="D988" s="13"/>
      <c r="E988" s="13"/>
      <c r="F988" s="13"/>
      <c r="G988" s="1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5">
        <v>1</v>
      </c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6">
        <f>SUM(H988:DL988)</f>
        <v>1</v>
      </c>
    </row>
    <row r="989" spans="1:117" x14ac:dyDescent="0.3">
      <c r="A989" s="17" t="s">
        <v>837</v>
      </c>
      <c r="B989" s="13" t="s">
        <v>838</v>
      </c>
      <c r="C989" s="13" t="s">
        <v>274</v>
      </c>
      <c r="D989" s="13">
        <v>33.119999999999997</v>
      </c>
      <c r="E989" s="13">
        <f>66609.2764*B2</f>
        <v>66609.276400000002</v>
      </c>
      <c r="F989" s="13">
        <f>D989*E989</f>
        <v>2206099.2343679997</v>
      </c>
      <c r="G989" s="14">
        <f>F989/A1</f>
        <v>2.8283742608707956E-5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8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9"/>
    </row>
    <row r="990" spans="1:117" x14ac:dyDescent="0.3">
      <c r="A990" s="12"/>
      <c r="B990" s="13"/>
      <c r="C990" s="13"/>
      <c r="D990" s="13"/>
      <c r="E990" s="13"/>
      <c r="F990" s="13"/>
      <c r="G990" s="1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20">
        <f>+$D989*CV988</f>
        <v>33.119999999999997</v>
      </c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21">
        <f>SUM(H990:DL990)</f>
        <v>33.119999999999997</v>
      </c>
    </row>
    <row r="991" spans="1:117" x14ac:dyDescent="0.3">
      <c r="A991" s="12"/>
      <c r="B991" s="13"/>
      <c r="C991" s="13"/>
      <c r="D991" s="13"/>
      <c r="E991" s="13"/>
      <c r="F991" s="13"/>
      <c r="G991" s="1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5">
        <v>1</v>
      </c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6">
        <f>SUM(H991:DL991)</f>
        <v>1</v>
      </c>
    </row>
    <row r="992" spans="1:117" x14ac:dyDescent="0.3">
      <c r="A992" s="17" t="s">
        <v>839</v>
      </c>
      <c r="B992" s="13" t="s">
        <v>840</v>
      </c>
      <c r="C992" s="13" t="s">
        <v>280</v>
      </c>
      <c r="D992" s="13">
        <v>3</v>
      </c>
      <c r="E992" s="13">
        <f>51405315.3571*B2</f>
        <v>51405315.357100002</v>
      </c>
      <c r="F992" s="13">
        <f>D992*E992</f>
        <v>154215946.0713</v>
      </c>
      <c r="G992" s="14">
        <f>F992/A1</f>
        <v>1.9771568100328905E-3</v>
      </c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8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9"/>
    </row>
    <row r="993" spans="1:117" x14ac:dyDescent="0.3">
      <c r="A993" s="12"/>
      <c r="B993" s="13"/>
      <c r="C993" s="13"/>
      <c r="D993" s="13"/>
      <c r="E993" s="13"/>
      <c r="F993" s="13"/>
      <c r="G993" s="1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20">
        <f>+$D992*CW991</f>
        <v>3</v>
      </c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21">
        <f>SUM(H993:DL993)</f>
        <v>3</v>
      </c>
    </row>
    <row r="994" spans="1:117" x14ac:dyDescent="0.3">
      <c r="A994" s="12"/>
      <c r="B994" s="13"/>
      <c r="C994" s="13"/>
      <c r="D994" s="13"/>
      <c r="E994" s="13"/>
      <c r="F994" s="13"/>
      <c r="G994" s="1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5">
        <v>0.5</v>
      </c>
      <c r="CX994" s="15">
        <v>0.5</v>
      </c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6">
        <f>SUM(H994:DL994)</f>
        <v>1</v>
      </c>
    </row>
    <row r="995" spans="1:117" x14ac:dyDescent="0.3">
      <c r="A995" s="17" t="s">
        <v>841</v>
      </c>
      <c r="B995" s="13" t="s">
        <v>842</v>
      </c>
      <c r="C995" s="13" t="s">
        <v>319</v>
      </c>
      <c r="D995" s="13">
        <v>1</v>
      </c>
      <c r="E995" s="13">
        <f>148565174.0523*B2</f>
        <v>148565174.05230001</v>
      </c>
      <c r="F995" s="13">
        <f>D995*E995</f>
        <v>148565174.05230001</v>
      </c>
      <c r="G995" s="14">
        <f>F995/A1</f>
        <v>1.9047099414441929E-3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8"/>
      <c r="CX995" s="18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9"/>
    </row>
    <row r="996" spans="1:117" x14ac:dyDescent="0.3">
      <c r="A996" s="12"/>
      <c r="B996" s="13"/>
      <c r="C996" s="13"/>
      <c r="D996" s="13"/>
      <c r="E996" s="13"/>
      <c r="F996" s="13"/>
      <c r="G996" s="1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20">
        <f>+$D995*CW994</f>
        <v>0.5</v>
      </c>
      <c r="CX996" s="20">
        <f>+$D995*CX994</f>
        <v>0.5</v>
      </c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21">
        <f>SUM(H996:DL996)</f>
        <v>1</v>
      </c>
    </row>
    <row r="997" spans="1:117" x14ac:dyDescent="0.3">
      <c r="A997" s="12"/>
      <c r="B997" s="13"/>
      <c r="C997" s="13"/>
      <c r="D997" s="13"/>
      <c r="E997" s="13"/>
      <c r="F997" s="13"/>
      <c r="G997" s="1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5">
        <v>1</v>
      </c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6">
        <f>SUM(H997:DL997)</f>
        <v>1</v>
      </c>
    </row>
    <row r="998" spans="1:117" x14ac:dyDescent="0.3">
      <c r="A998" s="17" t="s">
        <v>843</v>
      </c>
      <c r="B998" s="13" t="s">
        <v>844</v>
      </c>
      <c r="C998" s="13" t="s">
        <v>319</v>
      </c>
      <c r="D998" s="13">
        <v>1</v>
      </c>
      <c r="E998" s="13">
        <f>34652792.6142*B2</f>
        <v>34652792.614200003</v>
      </c>
      <c r="F998" s="13">
        <f>D998*E998</f>
        <v>34652792.614200003</v>
      </c>
      <c r="G998" s="14">
        <f>F998/A1</f>
        <v>4.4427315494434221E-4</v>
      </c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8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9"/>
    </row>
    <row r="999" spans="1:117" x14ac:dyDescent="0.3">
      <c r="A999" s="12"/>
      <c r="B999" s="13"/>
      <c r="C999" s="13"/>
      <c r="D999" s="13"/>
      <c r="E999" s="13"/>
      <c r="F999" s="13"/>
      <c r="G999" s="1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20">
        <f>+$D998*CW997</f>
        <v>1</v>
      </c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21">
        <f>SUM(H999:DL999)</f>
        <v>1</v>
      </c>
    </row>
    <row r="1000" spans="1:117" x14ac:dyDescent="0.3">
      <c r="A1000" s="12"/>
      <c r="B1000" s="13"/>
      <c r="C1000" s="13"/>
      <c r="D1000" s="13"/>
      <c r="E1000" s="13"/>
      <c r="F1000" s="13"/>
      <c r="G1000" s="1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5">
        <v>1</v>
      </c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6">
        <f>SUM(H1000:DL1000)</f>
        <v>1</v>
      </c>
    </row>
    <row r="1001" spans="1:117" x14ac:dyDescent="0.3">
      <c r="A1001" s="17" t="s">
        <v>845</v>
      </c>
      <c r="B1001" s="13" t="s">
        <v>846</v>
      </c>
      <c r="C1001" s="13" t="s">
        <v>126</v>
      </c>
      <c r="D1001" s="13">
        <v>25</v>
      </c>
      <c r="E1001" s="13">
        <f>0*B2</f>
        <v>0</v>
      </c>
      <c r="F1001" s="13">
        <f>D1001*E1001</f>
        <v>0</v>
      </c>
      <c r="G1001" s="14">
        <f>F1001/A1</f>
        <v>0</v>
      </c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8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9"/>
    </row>
    <row r="1002" spans="1:117" x14ac:dyDescent="0.3">
      <c r="A1002" s="12"/>
      <c r="B1002" s="13"/>
      <c r="C1002" s="13"/>
      <c r="D1002" s="13"/>
      <c r="E1002" s="13"/>
      <c r="F1002" s="13"/>
      <c r="G1002" s="14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20">
        <f>+$D1001*CX1000</f>
        <v>25</v>
      </c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21">
        <f>SUM(H1002:DL1002)</f>
        <v>25</v>
      </c>
    </row>
    <row r="1003" spans="1:117" x14ac:dyDescent="0.3">
      <c r="A1003" s="12"/>
      <c r="B1003" s="13"/>
      <c r="C1003" s="13"/>
      <c r="D1003" s="13"/>
      <c r="E1003" s="13"/>
      <c r="F1003" s="13"/>
      <c r="G1003" s="14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5">
        <v>0.5</v>
      </c>
      <c r="CV1003" s="15">
        <v>0.5</v>
      </c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6">
        <f>SUM(H1003:DL1003)</f>
        <v>1</v>
      </c>
    </row>
    <row r="1004" spans="1:117" x14ac:dyDescent="0.3">
      <c r="A1004" s="17" t="s">
        <v>847</v>
      </c>
      <c r="B1004" s="13" t="s">
        <v>848</v>
      </c>
      <c r="C1004" s="13" t="s">
        <v>274</v>
      </c>
      <c r="D1004" s="13">
        <v>168.65</v>
      </c>
      <c r="E1004" s="13">
        <f>0*B2</f>
        <v>0</v>
      </c>
      <c r="F1004" s="13">
        <f>D1004*E1004</f>
        <v>0</v>
      </c>
      <c r="G1004" s="14">
        <f>F1004/A1</f>
        <v>0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8"/>
      <c r="CV1004" s="18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9"/>
    </row>
    <row r="1005" spans="1:117" x14ac:dyDescent="0.3">
      <c r="A1005" s="12"/>
      <c r="B1005" s="13"/>
      <c r="C1005" s="13"/>
      <c r="D1005" s="13"/>
      <c r="E1005" s="13"/>
      <c r="F1005" s="13"/>
      <c r="G1005" s="14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20">
        <f>+$D1004*CU1003</f>
        <v>84.325000000000003</v>
      </c>
      <c r="CV1005" s="20">
        <f>+$D1004*CV1003</f>
        <v>84.325000000000003</v>
      </c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21">
        <f>SUM(H1005:DL1005)</f>
        <v>168.65</v>
      </c>
    </row>
    <row r="1006" spans="1:117" x14ac:dyDescent="0.3">
      <c r="A1006" s="8" t="s">
        <v>849</v>
      </c>
      <c r="B1006" s="9" t="s">
        <v>850</v>
      </c>
      <c r="C1006" s="9"/>
      <c r="D1006" s="9"/>
      <c r="E1006" s="9"/>
      <c r="F1006" s="9"/>
      <c r="G1006" s="10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  <c r="DC1006" s="9"/>
      <c r="DD1006" s="9"/>
      <c r="DE1006" s="9"/>
      <c r="DF1006" s="9"/>
      <c r="DG1006" s="9"/>
      <c r="DH1006" s="9"/>
      <c r="DI1006" s="9"/>
      <c r="DJ1006" s="9"/>
      <c r="DK1006" s="9"/>
      <c r="DL1006" s="9"/>
      <c r="DM1006" s="11"/>
    </row>
    <row r="1007" spans="1:117" x14ac:dyDescent="0.3">
      <c r="A1007" s="12"/>
      <c r="B1007" s="13"/>
      <c r="C1007" s="13"/>
      <c r="D1007" s="13"/>
      <c r="E1007" s="13"/>
      <c r="F1007" s="13"/>
      <c r="G1007" s="14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5">
        <v>1</v>
      </c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6">
        <f>SUM(H1007:DL1007)</f>
        <v>1</v>
      </c>
    </row>
    <row r="1008" spans="1:117" x14ac:dyDescent="0.3">
      <c r="A1008" s="17" t="s">
        <v>851</v>
      </c>
      <c r="B1008" s="13" t="s">
        <v>852</v>
      </c>
      <c r="C1008" s="13" t="s">
        <v>135</v>
      </c>
      <c r="D1008" s="13">
        <v>92.23</v>
      </c>
      <c r="E1008" s="13">
        <f>18634.3977*B2</f>
        <v>18634.397700000001</v>
      </c>
      <c r="F1008" s="13">
        <f>D1008*E1008</f>
        <v>1718650.4998710002</v>
      </c>
      <c r="G1008" s="14">
        <f>F1008/A1</f>
        <v>2.203430725844222E-5</v>
      </c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8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9"/>
    </row>
    <row r="1009" spans="1:117" x14ac:dyDescent="0.3">
      <c r="A1009" s="12"/>
      <c r="B1009" s="13"/>
      <c r="C1009" s="13"/>
      <c r="D1009" s="13"/>
      <c r="E1009" s="13"/>
      <c r="F1009" s="13"/>
      <c r="G1009" s="14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20">
        <f>+$D1008*CU1007</f>
        <v>92.23</v>
      </c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21">
        <f>SUM(H1009:DL1009)</f>
        <v>92.23</v>
      </c>
    </row>
    <row r="1010" spans="1:117" x14ac:dyDescent="0.3">
      <c r="A1010" s="12"/>
      <c r="B1010" s="13"/>
      <c r="C1010" s="13"/>
      <c r="D1010" s="13"/>
      <c r="E1010" s="13"/>
      <c r="F1010" s="13"/>
      <c r="G1010" s="14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5">
        <v>0.71133999999999997</v>
      </c>
      <c r="CU1010" s="15">
        <v>0.28866000000000003</v>
      </c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6">
        <f>SUM(H1010:DL1010)</f>
        <v>1</v>
      </c>
    </row>
    <row r="1011" spans="1:117" x14ac:dyDescent="0.3">
      <c r="A1011" s="17" t="s">
        <v>853</v>
      </c>
      <c r="B1011" s="13" t="s">
        <v>854</v>
      </c>
      <c r="C1011" s="13" t="s">
        <v>135</v>
      </c>
      <c r="D1011" s="13">
        <v>2.91</v>
      </c>
      <c r="E1011" s="13">
        <f>409405.8047*B2</f>
        <v>409405.80469999998</v>
      </c>
      <c r="F1011" s="13">
        <f>D1011*E1011</f>
        <v>1191370.8916770001</v>
      </c>
      <c r="G1011" s="14">
        <f>F1011/A1</f>
        <v>1.5274212114647901E-5</v>
      </c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8"/>
      <c r="CU1011" s="18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9"/>
    </row>
    <row r="1012" spans="1:117" x14ac:dyDescent="0.3">
      <c r="A1012" s="12"/>
      <c r="B1012" s="13"/>
      <c r="C1012" s="13"/>
      <c r="D1012" s="13"/>
      <c r="E1012" s="13"/>
      <c r="F1012" s="13"/>
      <c r="G1012" s="14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20">
        <f>+$D1011*CT1010</f>
        <v>2.0699993999999999</v>
      </c>
      <c r="CU1012" s="20">
        <f>+$D1011*CU1010</f>
        <v>0.8400006000000001</v>
      </c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21">
        <f>SUM(H1012:DL1012)</f>
        <v>2.91</v>
      </c>
    </row>
    <row r="1013" spans="1:117" x14ac:dyDescent="0.3">
      <c r="A1013" s="12"/>
      <c r="B1013" s="13"/>
      <c r="C1013" s="13"/>
      <c r="D1013" s="13"/>
      <c r="E1013" s="13"/>
      <c r="F1013" s="13"/>
      <c r="G1013" s="14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5">
        <v>0.70631699999999997</v>
      </c>
      <c r="CN1013" s="13"/>
      <c r="CO1013" s="13"/>
      <c r="CP1013" s="13"/>
      <c r="CQ1013" s="13"/>
      <c r="CR1013" s="13"/>
      <c r="CS1013" s="13"/>
      <c r="CT1013" s="13"/>
      <c r="CU1013" s="15">
        <v>0.29368300000000003</v>
      </c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6">
        <f>SUM(H1013:DL1013)</f>
        <v>1</v>
      </c>
    </row>
    <row r="1014" spans="1:117" x14ac:dyDescent="0.3">
      <c r="A1014" s="17" t="s">
        <v>855</v>
      </c>
      <c r="B1014" s="13" t="s">
        <v>856</v>
      </c>
      <c r="C1014" s="13" t="s">
        <v>135</v>
      </c>
      <c r="D1014" s="13">
        <v>14.88</v>
      </c>
      <c r="E1014" s="13">
        <f>1281390.4145*B2</f>
        <v>1281390.4145</v>
      </c>
      <c r="F1014" s="13">
        <f>D1014*E1014</f>
        <v>19067089.367759999</v>
      </c>
      <c r="G1014" s="14">
        <f>F1014/A1</f>
        <v>2.4445348585121587E-4</v>
      </c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8"/>
      <c r="CN1014" s="13"/>
      <c r="CO1014" s="13"/>
      <c r="CP1014" s="13"/>
      <c r="CQ1014" s="13"/>
      <c r="CR1014" s="13"/>
      <c r="CS1014" s="13"/>
      <c r="CT1014" s="13"/>
      <c r="CU1014" s="18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9"/>
    </row>
    <row r="1015" spans="1:117" x14ac:dyDescent="0.3">
      <c r="A1015" s="12"/>
      <c r="B1015" s="13"/>
      <c r="C1015" s="13"/>
      <c r="D1015" s="13"/>
      <c r="E1015" s="13"/>
      <c r="F1015" s="13"/>
      <c r="G1015" s="14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20">
        <f>+$D1014*CM1013</f>
        <v>10.50999696</v>
      </c>
      <c r="CN1015" s="13"/>
      <c r="CO1015" s="13"/>
      <c r="CP1015" s="13"/>
      <c r="CQ1015" s="13"/>
      <c r="CR1015" s="13"/>
      <c r="CS1015" s="13"/>
      <c r="CT1015" s="13"/>
      <c r="CU1015" s="20">
        <f>+$D1014*CU1013</f>
        <v>4.3700030400000003</v>
      </c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21">
        <f>SUM(H1015:DL1015)</f>
        <v>14.88</v>
      </c>
    </row>
    <row r="1016" spans="1:117" x14ac:dyDescent="0.3">
      <c r="A1016" s="12"/>
      <c r="B1016" s="13"/>
      <c r="C1016" s="13"/>
      <c r="D1016" s="13"/>
      <c r="E1016" s="13"/>
      <c r="F1016" s="13"/>
      <c r="G1016" s="14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5">
        <v>1</v>
      </c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6">
        <f>SUM(H1016:DL1016)</f>
        <v>1</v>
      </c>
    </row>
    <row r="1017" spans="1:117" x14ac:dyDescent="0.3">
      <c r="A1017" s="17" t="s">
        <v>857</v>
      </c>
      <c r="B1017" s="13" t="s">
        <v>858</v>
      </c>
      <c r="C1017" s="13" t="s">
        <v>135</v>
      </c>
      <c r="D1017" s="13">
        <v>33.159999999999997</v>
      </c>
      <c r="E1017" s="13">
        <f>65276.9503*B2</f>
        <v>65276.950299999997</v>
      </c>
      <c r="F1017" s="13">
        <f>D1017*E1017</f>
        <v>2164583.6719479999</v>
      </c>
      <c r="G1017" s="14">
        <f>F1017/A1</f>
        <v>2.7751483921768423E-5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8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9"/>
    </row>
    <row r="1018" spans="1:117" x14ac:dyDescent="0.3">
      <c r="A1018" s="12"/>
      <c r="B1018" s="13"/>
      <c r="C1018" s="13"/>
      <c r="D1018" s="13"/>
      <c r="E1018" s="13"/>
      <c r="F1018" s="13"/>
      <c r="G1018" s="14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20">
        <f>+$D1017*CU1016</f>
        <v>33.159999999999997</v>
      </c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21">
        <f>SUM(H1018:DL1018)</f>
        <v>33.159999999999997</v>
      </c>
    </row>
    <row r="1019" spans="1:117" x14ac:dyDescent="0.3">
      <c r="A1019" s="12"/>
      <c r="B1019" s="13"/>
      <c r="C1019" s="13"/>
      <c r="D1019" s="13"/>
      <c r="E1019" s="13"/>
      <c r="F1019" s="13"/>
      <c r="G1019" s="14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5">
        <v>0.86940700000000004</v>
      </c>
      <c r="CO1019" s="13"/>
      <c r="CP1019" s="13"/>
      <c r="CQ1019" s="13"/>
      <c r="CR1019" s="13"/>
      <c r="CS1019" s="13"/>
      <c r="CT1019" s="13"/>
      <c r="CU1019" s="15">
        <v>0.13059299999999999</v>
      </c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6">
        <f>SUM(H1019:DL1019)</f>
        <v>1</v>
      </c>
    </row>
    <row r="1020" spans="1:117" x14ac:dyDescent="0.3">
      <c r="A1020" s="17" t="s">
        <v>859</v>
      </c>
      <c r="B1020" s="13" t="s">
        <v>860</v>
      </c>
      <c r="C1020" s="13" t="s">
        <v>277</v>
      </c>
      <c r="D1020" s="13">
        <v>60.57</v>
      </c>
      <c r="E1020" s="13">
        <f>24797.2454*B2</f>
        <v>24797.2454</v>
      </c>
      <c r="F1020" s="13">
        <f>D1020*E1020</f>
        <v>1501969.1538780001</v>
      </c>
      <c r="G1020" s="14">
        <f>F1020/A1</f>
        <v>1.9256300121365219E-5</v>
      </c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8"/>
      <c r="CO1020" s="13"/>
      <c r="CP1020" s="13"/>
      <c r="CQ1020" s="13"/>
      <c r="CR1020" s="13"/>
      <c r="CS1020" s="13"/>
      <c r="CT1020" s="13"/>
      <c r="CU1020" s="18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9"/>
    </row>
    <row r="1021" spans="1:117" x14ac:dyDescent="0.3">
      <c r="A1021" s="12"/>
      <c r="B1021" s="13"/>
      <c r="C1021" s="13"/>
      <c r="D1021" s="13"/>
      <c r="E1021" s="13"/>
      <c r="F1021" s="13"/>
      <c r="G1021" s="14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20">
        <f>+$D1020*CN1019</f>
        <v>52.659981990000006</v>
      </c>
      <c r="CO1021" s="13"/>
      <c r="CP1021" s="13"/>
      <c r="CQ1021" s="13"/>
      <c r="CR1021" s="13"/>
      <c r="CS1021" s="13"/>
      <c r="CT1021" s="13"/>
      <c r="CU1021" s="20">
        <f>+$D1020*CU1019</f>
        <v>7.910018009999999</v>
      </c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21">
        <f>SUM(H1021:DL1021)</f>
        <v>60.570000000000007</v>
      </c>
    </row>
    <row r="1022" spans="1:117" x14ac:dyDescent="0.3">
      <c r="A1022" s="12"/>
      <c r="B1022" s="13"/>
      <c r="C1022" s="13"/>
      <c r="D1022" s="13"/>
      <c r="E1022" s="13"/>
      <c r="F1022" s="13"/>
      <c r="G1022" s="14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5">
        <v>1</v>
      </c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6">
        <f>SUM(H1022:DL1022)</f>
        <v>1</v>
      </c>
    </row>
    <row r="1023" spans="1:117" x14ac:dyDescent="0.3">
      <c r="A1023" s="17" t="s">
        <v>861</v>
      </c>
      <c r="B1023" s="13" t="s">
        <v>862</v>
      </c>
      <c r="C1023" s="13" t="s">
        <v>280</v>
      </c>
      <c r="D1023" s="13">
        <v>2</v>
      </c>
      <c r="E1023" s="13">
        <f>8000017.3571*B2</f>
        <v>8000017.3570999997</v>
      </c>
      <c r="F1023" s="13">
        <f>D1023*E1023</f>
        <v>16000034.714199999</v>
      </c>
      <c r="G1023" s="14">
        <f>F1023/A1</f>
        <v>2.0513168969775209E-4</v>
      </c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8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9"/>
    </row>
    <row r="1024" spans="1:117" x14ac:dyDescent="0.3">
      <c r="A1024" s="12"/>
      <c r="B1024" s="13"/>
      <c r="C1024" s="13"/>
      <c r="D1024" s="13"/>
      <c r="E1024" s="13"/>
      <c r="F1024" s="13"/>
      <c r="G1024" s="14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20">
        <f>+$D1023*CU1022</f>
        <v>2</v>
      </c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21">
        <f>SUM(H1024:DL1024)</f>
        <v>2</v>
      </c>
    </row>
    <row r="1025" spans="1:117" x14ac:dyDescent="0.3">
      <c r="A1025" s="12"/>
      <c r="B1025" s="13"/>
      <c r="C1025" s="13"/>
      <c r="D1025" s="13"/>
      <c r="E1025" s="13"/>
      <c r="F1025" s="13"/>
      <c r="G1025" s="14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5">
        <v>1</v>
      </c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6">
        <f>SUM(H1025:DL1025)</f>
        <v>1</v>
      </c>
    </row>
    <row r="1026" spans="1:117" x14ac:dyDescent="0.3">
      <c r="A1026" s="17" t="s">
        <v>863</v>
      </c>
      <c r="B1026" s="13" t="s">
        <v>864</v>
      </c>
      <c r="C1026" s="13" t="s">
        <v>319</v>
      </c>
      <c r="D1026" s="13">
        <v>1</v>
      </c>
      <c r="E1026" s="13">
        <f>0*B2</f>
        <v>0</v>
      </c>
      <c r="F1026" s="13">
        <f>D1026*E1026</f>
        <v>0</v>
      </c>
      <c r="G1026" s="14">
        <f>F1026/A1</f>
        <v>0</v>
      </c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8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9"/>
    </row>
    <row r="1027" spans="1:117" x14ac:dyDescent="0.3">
      <c r="A1027" s="12"/>
      <c r="B1027" s="13"/>
      <c r="C1027" s="13"/>
      <c r="D1027" s="13"/>
      <c r="E1027" s="13"/>
      <c r="F1027" s="13"/>
      <c r="G1027" s="14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20">
        <f>+$D1026*CU1025</f>
        <v>1</v>
      </c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21">
        <f>SUM(H1027:DL1027)</f>
        <v>1</v>
      </c>
    </row>
    <row r="1028" spans="1:117" x14ac:dyDescent="0.3">
      <c r="A1028" s="12"/>
      <c r="B1028" s="13"/>
      <c r="C1028" s="13"/>
      <c r="D1028" s="13"/>
      <c r="E1028" s="13"/>
      <c r="F1028" s="13"/>
      <c r="G1028" s="14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5">
        <v>1</v>
      </c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6">
        <f>SUM(H1028:DL1028)</f>
        <v>1</v>
      </c>
    </row>
    <row r="1029" spans="1:117" x14ac:dyDescent="0.3">
      <c r="A1029" s="17" t="s">
        <v>865</v>
      </c>
      <c r="B1029" s="13" t="s">
        <v>866</v>
      </c>
      <c r="C1029" s="13" t="s">
        <v>126</v>
      </c>
      <c r="D1029" s="13">
        <v>945</v>
      </c>
      <c r="E1029" s="13">
        <f>49120.3183*B2</f>
        <v>49120.318299999999</v>
      </c>
      <c r="F1029" s="13">
        <f>D1029*E1029</f>
        <v>46418700.793499999</v>
      </c>
      <c r="G1029" s="14">
        <f>F1029/A1</f>
        <v>5.9512036676360027E-4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8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9"/>
    </row>
    <row r="1030" spans="1:117" x14ac:dyDescent="0.3">
      <c r="A1030" s="12"/>
      <c r="B1030" s="13"/>
      <c r="C1030" s="13"/>
      <c r="D1030" s="13"/>
      <c r="E1030" s="13"/>
      <c r="F1030" s="13"/>
      <c r="G1030" s="14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20">
        <f>+$D1029*CU1028</f>
        <v>945</v>
      </c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21">
        <f>SUM(H1030:DL1030)</f>
        <v>945</v>
      </c>
    </row>
    <row r="1031" spans="1:117" x14ac:dyDescent="0.3">
      <c r="A1031" s="12"/>
      <c r="B1031" s="13"/>
      <c r="C1031" s="13"/>
      <c r="D1031" s="13"/>
      <c r="E1031" s="13"/>
      <c r="F1031" s="13"/>
      <c r="G1031" s="14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5">
        <v>1</v>
      </c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6">
        <f>SUM(H1031:DL1031)</f>
        <v>1</v>
      </c>
    </row>
    <row r="1032" spans="1:117" x14ac:dyDescent="0.3">
      <c r="A1032" s="17" t="s">
        <v>867</v>
      </c>
      <c r="B1032" s="13" t="s">
        <v>868</v>
      </c>
      <c r="C1032" s="13" t="s">
        <v>804</v>
      </c>
      <c r="D1032" s="13">
        <v>1</v>
      </c>
      <c r="E1032" s="13">
        <f>2234440.5344*B2</f>
        <v>2234440.5343999998</v>
      </c>
      <c r="F1032" s="13">
        <f>D1032*E1032</f>
        <v>2234440.5343999998</v>
      </c>
      <c r="G1032" s="14">
        <f>F1032/A1</f>
        <v>2.8647097993095685E-5</v>
      </c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8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9"/>
    </row>
    <row r="1033" spans="1:117" x14ac:dyDescent="0.3">
      <c r="A1033" s="12"/>
      <c r="B1033" s="13"/>
      <c r="C1033" s="13"/>
      <c r="D1033" s="13"/>
      <c r="E1033" s="13"/>
      <c r="F1033" s="13"/>
      <c r="G1033" s="14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20">
        <f>+$D1032*CT1031</f>
        <v>1</v>
      </c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21">
        <f>SUM(H1033:DL1033)</f>
        <v>1</v>
      </c>
    </row>
    <row r="1034" spans="1:117" x14ac:dyDescent="0.3">
      <c r="A1034" s="8" t="s">
        <v>869</v>
      </c>
      <c r="B1034" s="9" t="s">
        <v>870</v>
      </c>
      <c r="C1034" s="9"/>
      <c r="D1034" s="9"/>
      <c r="E1034" s="9"/>
      <c r="F1034" s="9"/>
      <c r="G1034" s="10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11"/>
    </row>
    <row r="1035" spans="1:117" x14ac:dyDescent="0.3">
      <c r="A1035" s="12"/>
      <c r="B1035" s="13"/>
      <c r="C1035" s="13"/>
      <c r="D1035" s="13"/>
      <c r="E1035" s="13"/>
      <c r="F1035" s="13"/>
      <c r="G1035" s="14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5">
        <v>1</v>
      </c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6">
        <f>SUM(H1035:DL1035)</f>
        <v>1</v>
      </c>
    </row>
    <row r="1036" spans="1:117" x14ac:dyDescent="0.3">
      <c r="A1036" s="17" t="s">
        <v>871</v>
      </c>
      <c r="B1036" s="13" t="s">
        <v>872</v>
      </c>
      <c r="C1036" s="13" t="s">
        <v>135</v>
      </c>
      <c r="D1036" s="13">
        <v>1136.8599999999999</v>
      </c>
      <c r="E1036" s="13">
        <f>23899.1691*B2</f>
        <v>23899.169099999999</v>
      </c>
      <c r="F1036" s="13">
        <f>D1036*E1036</f>
        <v>27170009.383025996</v>
      </c>
      <c r="G1036" s="14">
        <f>F1036/A1</f>
        <v>3.4833861509672183E-4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8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9"/>
    </row>
    <row r="1037" spans="1:117" x14ac:dyDescent="0.3">
      <c r="A1037" s="12"/>
      <c r="B1037" s="13"/>
      <c r="C1037" s="13"/>
      <c r="D1037" s="13"/>
      <c r="E1037" s="13"/>
      <c r="F1037" s="13"/>
      <c r="G1037" s="14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20">
        <f>+$D1036*CM1035</f>
        <v>1136.8599999999999</v>
      </c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21">
        <f>SUM(H1037:DL1037)</f>
        <v>1136.8599999999999</v>
      </c>
    </row>
    <row r="1038" spans="1:117" x14ac:dyDescent="0.3">
      <c r="A1038" s="12"/>
      <c r="B1038" s="13"/>
      <c r="C1038" s="13"/>
      <c r="D1038" s="13"/>
      <c r="E1038" s="13"/>
      <c r="F1038" s="13"/>
      <c r="G1038" s="14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5">
        <v>1</v>
      </c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6">
        <f>SUM(H1038:DL1038)</f>
        <v>1</v>
      </c>
    </row>
    <row r="1039" spans="1:117" x14ac:dyDescent="0.3">
      <c r="A1039" s="17" t="s">
        <v>873</v>
      </c>
      <c r="B1039" s="13" t="s">
        <v>874</v>
      </c>
      <c r="C1039" s="13" t="s">
        <v>135</v>
      </c>
      <c r="D1039" s="13">
        <v>2.2000000000000002</v>
      </c>
      <c r="E1039" s="13">
        <f>409776.6677*B2</f>
        <v>409776.66769999999</v>
      </c>
      <c r="F1039" s="13">
        <f>D1039*E1039</f>
        <v>901508.66894</v>
      </c>
      <c r="G1039" s="14">
        <f>F1039/A1</f>
        <v>1.1557974706936751E-5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8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9"/>
    </row>
    <row r="1040" spans="1:117" x14ac:dyDescent="0.3">
      <c r="A1040" s="12"/>
      <c r="B1040" s="13"/>
      <c r="C1040" s="13"/>
      <c r="D1040" s="13"/>
      <c r="E1040" s="13"/>
      <c r="F1040" s="13"/>
      <c r="G1040" s="14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20">
        <f>+$D1039*CM1038</f>
        <v>2.2000000000000002</v>
      </c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21">
        <f>SUM(H1040:DL1040)</f>
        <v>2.2000000000000002</v>
      </c>
    </row>
    <row r="1041" spans="1:117" x14ac:dyDescent="0.3">
      <c r="A1041" s="12"/>
      <c r="B1041" s="13"/>
      <c r="C1041" s="13"/>
      <c r="D1041" s="13"/>
      <c r="E1041" s="13"/>
      <c r="F1041" s="13"/>
      <c r="G1041" s="14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5">
        <v>1</v>
      </c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6">
        <f>SUM(H1041:DL1041)</f>
        <v>1</v>
      </c>
    </row>
    <row r="1042" spans="1:117" x14ac:dyDescent="0.3">
      <c r="A1042" s="17" t="s">
        <v>875</v>
      </c>
      <c r="B1042" s="13" t="s">
        <v>876</v>
      </c>
      <c r="C1042" s="13" t="s">
        <v>135</v>
      </c>
      <c r="D1042" s="13">
        <v>24.49</v>
      </c>
      <c r="E1042" s="13">
        <f>1393619.2026*B2</f>
        <v>1393619.2026</v>
      </c>
      <c r="F1042" s="13">
        <f>D1042*E1042</f>
        <v>34129734.271674</v>
      </c>
      <c r="G1042" s="14">
        <f>F1042/A1</f>
        <v>4.3756717939307416E-4</v>
      </c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8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9"/>
    </row>
    <row r="1043" spans="1:117" x14ac:dyDescent="0.3">
      <c r="A1043" s="12"/>
      <c r="B1043" s="13"/>
      <c r="C1043" s="13"/>
      <c r="D1043" s="13"/>
      <c r="E1043" s="13"/>
      <c r="F1043" s="13"/>
      <c r="G1043" s="14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20">
        <f>+$D1042*CM1041</f>
        <v>24.49</v>
      </c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21">
        <f>SUM(H1043:DL1043)</f>
        <v>24.49</v>
      </c>
    </row>
    <row r="1044" spans="1:117" x14ac:dyDescent="0.3">
      <c r="A1044" s="12"/>
      <c r="B1044" s="13"/>
      <c r="C1044" s="13"/>
      <c r="D1044" s="13"/>
      <c r="E1044" s="13"/>
      <c r="F1044" s="13"/>
      <c r="G1044" s="14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5">
        <v>1</v>
      </c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6">
        <f>SUM(H1044:DL1044)</f>
        <v>1</v>
      </c>
    </row>
    <row r="1045" spans="1:117" x14ac:dyDescent="0.3">
      <c r="A1045" s="17" t="s">
        <v>877</v>
      </c>
      <c r="B1045" s="13" t="s">
        <v>878</v>
      </c>
      <c r="C1045" s="13" t="s">
        <v>277</v>
      </c>
      <c r="D1045" s="13">
        <v>62.84</v>
      </c>
      <c r="E1045" s="13">
        <f>24798.305*B2</f>
        <v>24798.305</v>
      </c>
      <c r="F1045" s="13">
        <f>D1045*E1045</f>
        <v>1558325.4862000002</v>
      </c>
      <c r="G1045" s="14">
        <f>F1045/A1</f>
        <v>1.9978827908390581E-5</v>
      </c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8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9"/>
    </row>
    <row r="1046" spans="1:117" x14ac:dyDescent="0.3">
      <c r="A1046" s="12"/>
      <c r="B1046" s="13"/>
      <c r="C1046" s="13"/>
      <c r="D1046" s="13"/>
      <c r="E1046" s="13"/>
      <c r="F1046" s="13"/>
      <c r="G1046" s="14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20">
        <f>+$D1045*CN1044</f>
        <v>62.84</v>
      </c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21">
        <f>SUM(H1046:DL1046)</f>
        <v>62.84</v>
      </c>
    </row>
    <row r="1047" spans="1:117" x14ac:dyDescent="0.3">
      <c r="A1047" s="12"/>
      <c r="B1047" s="13"/>
      <c r="C1047" s="13"/>
      <c r="D1047" s="13"/>
      <c r="E1047" s="13"/>
      <c r="F1047" s="13"/>
      <c r="G1047" s="14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5">
        <v>1</v>
      </c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6">
        <f>SUM(H1047:DL1047)</f>
        <v>1</v>
      </c>
    </row>
    <row r="1048" spans="1:117" x14ac:dyDescent="0.3">
      <c r="A1048" s="17" t="s">
        <v>879</v>
      </c>
      <c r="B1048" s="13" t="s">
        <v>880</v>
      </c>
      <c r="C1048" s="13" t="s">
        <v>347</v>
      </c>
      <c r="D1048" s="13">
        <v>696.1</v>
      </c>
      <c r="E1048" s="13">
        <f>65252.4988*B2</f>
        <v>65252.498800000001</v>
      </c>
      <c r="F1048" s="13">
        <f>D1048*E1048</f>
        <v>45422264.414680004</v>
      </c>
      <c r="G1048" s="14">
        <f>F1048/A1</f>
        <v>5.8234535210177271E-4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8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9"/>
    </row>
    <row r="1049" spans="1:117" x14ac:dyDescent="0.3">
      <c r="A1049" s="12"/>
      <c r="B1049" s="13"/>
      <c r="C1049" s="13"/>
      <c r="D1049" s="13"/>
      <c r="E1049" s="13"/>
      <c r="F1049" s="13"/>
      <c r="G1049" s="14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20">
        <f>+$D1048*CN1047</f>
        <v>696.1</v>
      </c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21">
        <f>SUM(H1049:DL1049)</f>
        <v>696.1</v>
      </c>
    </row>
    <row r="1050" spans="1:117" x14ac:dyDescent="0.3">
      <c r="A1050" s="12"/>
      <c r="B1050" s="13"/>
      <c r="C1050" s="13"/>
      <c r="D1050" s="13"/>
      <c r="E1050" s="13"/>
      <c r="F1050" s="13"/>
      <c r="G1050" s="14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5">
        <v>1</v>
      </c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6">
        <f>SUM(H1050:DL1050)</f>
        <v>1</v>
      </c>
    </row>
    <row r="1051" spans="1:117" x14ac:dyDescent="0.3">
      <c r="A1051" s="17" t="s">
        <v>881</v>
      </c>
      <c r="B1051" s="13" t="s">
        <v>882</v>
      </c>
      <c r="C1051" s="13" t="s">
        <v>126</v>
      </c>
      <c r="D1051" s="13">
        <v>94.5</v>
      </c>
      <c r="E1051" s="13">
        <f>3867058.111*B2</f>
        <v>3867058.111</v>
      </c>
      <c r="F1051" s="13">
        <f>D1051*E1051</f>
        <v>365436991.48949999</v>
      </c>
      <c r="G1051" s="14">
        <f>F1051/A1</f>
        <v>4.6851590562972294E-3</v>
      </c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8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9"/>
    </row>
    <row r="1052" spans="1:117" x14ac:dyDescent="0.3">
      <c r="A1052" s="12"/>
      <c r="B1052" s="13"/>
      <c r="C1052" s="13"/>
      <c r="D1052" s="13"/>
      <c r="E1052" s="13"/>
      <c r="F1052" s="13"/>
      <c r="G1052" s="14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20">
        <f>+$D1051*CU1050</f>
        <v>94.5</v>
      </c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21">
        <f>SUM(H1052:DL1052)</f>
        <v>94.5</v>
      </c>
    </row>
    <row r="1053" spans="1:117" x14ac:dyDescent="0.3">
      <c r="A1053" s="12"/>
      <c r="B1053" s="13"/>
      <c r="C1053" s="13"/>
      <c r="D1053" s="13"/>
      <c r="E1053" s="13"/>
      <c r="F1053" s="13"/>
      <c r="G1053" s="14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5">
        <v>1</v>
      </c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6">
        <f>SUM(H1053:DL1053)</f>
        <v>1</v>
      </c>
    </row>
    <row r="1054" spans="1:117" x14ac:dyDescent="0.3">
      <c r="A1054" s="17" t="s">
        <v>883</v>
      </c>
      <c r="B1054" s="13" t="s">
        <v>884</v>
      </c>
      <c r="C1054" s="13" t="s">
        <v>280</v>
      </c>
      <c r="D1054" s="13">
        <v>1</v>
      </c>
      <c r="E1054" s="13">
        <f>87872941.095*B2</f>
        <v>87872941.094999999</v>
      </c>
      <c r="F1054" s="13">
        <f>D1054*E1054</f>
        <v>87872941.094999999</v>
      </c>
      <c r="G1054" s="14">
        <f>F1054/A1</f>
        <v>1.1265928610474057E-3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8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9"/>
    </row>
    <row r="1055" spans="1:117" x14ac:dyDescent="0.3">
      <c r="A1055" s="12"/>
      <c r="B1055" s="13"/>
      <c r="C1055" s="13"/>
      <c r="D1055" s="13"/>
      <c r="E1055" s="13"/>
      <c r="F1055" s="13"/>
      <c r="G1055" s="14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20">
        <f>+$D1054*CU1053</f>
        <v>1</v>
      </c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21">
        <f>SUM(H1055:DL1055)</f>
        <v>1</v>
      </c>
    </row>
    <row r="1056" spans="1:117" x14ac:dyDescent="0.3">
      <c r="A1056" s="8" t="s">
        <v>885</v>
      </c>
      <c r="B1056" s="9" t="s">
        <v>886</v>
      </c>
      <c r="C1056" s="9"/>
      <c r="D1056" s="9"/>
      <c r="E1056" s="9"/>
      <c r="F1056" s="9"/>
      <c r="G1056" s="10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11"/>
    </row>
    <row r="1057" spans="1:117" x14ac:dyDescent="0.3">
      <c r="A1057" s="12"/>
      <c r="B1057" s="13"/>
      <c r="C1057" s="13"/>
      <c r="D1057" s="13"/>
      <c r="E1057" s="13"/>
      <c r="F1057" s="13"/>
      <c r="G1057" s="14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6">
        <f>SUM(H1057:DL1057)</f>
        <v>0</v>
      </c>
    </row>
    <row r="1058" spans="1:117" x14ac:dyDescent="0.3">
      <c r="A1058" s="17" t="s">
        <v>887</v>
      </c>
      <c r="B1058" s="13" t="s">
        <v>888</v>
      </c>
      <c r="C1058" s="13" t="s">
        <v>135</v>
      </c>
      <c r="D1058" s="13">
        <v>0</v>
      </c>
      <c r="E1058" s="13">
        <f>23899.1691*B2</f>
        <v>23899.169099999999</v>
      </c>
      <c r="F1058" s="13">
        <f>D1058*E1058</f>
        <v>0</v>
      </c>
      <c r="G1058" s="14">
        <f>F1058/A1</f>
        <v>0</v>
      </c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9"/>
    </row>
    <row r="1059" spans="1:117" x14ac:dyDescent="0.3">
      <c r="A1059" s="12"/>
      <c r="B1059" s="13"/>
      <c r="C1059" s="13"/>
      <c r="D1059" s="13"/>
      <c r="E1059" s="13"/>
      <c r="F1059" s="13"/>
      <c r="G1059" s="14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21">
        <f>SUM(H1059:DL1059)</f>
        <v>0</v>
      </c>
    </row>
    <row r="1060" spans="1:117" x14ac:dyDescent="0.3">
      <c r="A1060" s="12"/>
      <c r="B1060" s="13"/>
      <c r="C1060" s="13"/>
      <c r="D1060" s="13"/>
      <c r="E1060" s="13"/>
      <c r="F1060" s="13"/>
      <c r="G1060" s="14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6">
        <f>SUM(H1060:DL1060)</f>
        <v>0</v>
      </c>
    </row>
    <row r="1061" spans="1:117" x14ac:dyDescent="0.3">
      <c r="A1061" s="17" t="s">
        <v>889</v>
      </c>
      <c r="B1061" s="13" t="s">
        <v>890</v>
      </c>
      <c r="C1061" s="13" t="s">
        <v>135</v>
      </c>
      <c r="D1061" s="13">
        <v>0</v>
      </c>
      <c r="E1061" s="13">
        <f>408894.0663*B2</f>
        <v>408894.06630000001</v>
      </c>
      <c r="F1061" s="13">
        <f>D1061*E1061</f>
        <v>0</v>
      </c>
      <c r="G1061" s="14">
        <f>F1061/A1</f>
        <v>0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9"/>
    </row>
    <row r="1062" spans="1:117" x14ac:dyDescent="0.3">
      <c r="A1062" s="12"/>
      <c r="B1062" s="13"/>
      <c r="C1062" s="13"/>
      <c r="D1062" s="13"/>
      <c r="E1062" s="13"/>
      <c r="F1062" s="13"/>
      <c r="G1062" s="14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21">
        <f>SUM(H1062:DL1062)</f>
        <v>0</v>
      </c>
    </row>
    <row r="1063" spans="1:117" x14ac:dyDescent="0.3">
      <c r="A1063" s="12"/>
      <c r="B1063" s="13"/>
      <c r="C1063" s="13"/>
      <c r="D1063" s="13"/>
      <c r="E1063" s="13"/>
      <c r="F1063" s="13"/>
      <c r="G1063" s="14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6">
        <f>SUM(H1063:DL1063)</f>
        <v>0</v>
      </c>
    </row>
    <row r="1064" spans="1:117" x14ac:dyDescent="0.3">
      <c r="A1064" s="17" t="s">
        <v>891</v>
      </c>
      <c r="B1064" s="13" t="s">
        <v>892</v>
      </c>
      <c r="C1064" s="13" t="s">
        <v>135</v>
      </c>
      <c r="D1064" s="13">
        <v>0</v>
      </c>
      <c r="E1064" s="13">
        <f>1379620.5597*B2</f>
        <v>1379620.5597000001</v>
      </c>
      <c r="F1064" s="13">
        <f>D1064*E1064</f>
        <v>0</v>
      </c>
      <c r="G1064" s="14">
        <f>F1064/A1</f>
        <v>0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9"/>
    </row>
    <row r="1065" spans="1:117" x14ac:dyDescent="0.3">
      <c r="A1065" s="12"/>
      <c r="B1065" s="13"/>
      <c r="C1065" s="13"/>
      <c r="D1065" s="13"/>
      <c r="E1065" s="13"/>
      <c r="F1065" s="13"/>
      <c r="G1065" s="14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21">
        <f>SUM(H1065:DL1065)</f>
        <v>0</v>
      </c>
    </row>
    <row r="1066" spans="1:117" x14ac:dyDescent="0.3">
      <c r="A1066" s="12"/>
      <c r="B1066" s="13"/>
      <c r="C1066" s="13"/>
      <c r="D1066" s="13"/>
      <c r="E1066" s="13"/>
      <c r="F1066" s="13"/>
      <c r="G1066" s="14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6">
        <f>SUM(H1066:DL1066)</f>
        <v>0</v>
      </c>
    </row>
    <row r="1067" spans="1:117" x14ac:dyDescent="0.3">
      <c r="A1067" s="17" t="s">
        <v>893</v>
      </c>
      <c r="B1067" s="13" t="s">
        <v>894</v>
      </c>
      <c r="C1067" s="13" t="s">
        <v>277</v>
      </c>
      <c r="D1067" s="13">
        <v>0</v>
      </c>
      <c r="E1067" s="13">
        <f>24795.3988*B2</f>
        <v>24795.398799999999</v>
      </c>
      <c r="F1067" s="13">
        <f>D1067*E1067</f>
        <v>0</v>
      </c>
      <c r="G1067" s="14">
        <f>F1067/A1</f>
        <v>0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9"/>
    </row>
    <row r="1068" spans="1:117" x14ac:dyDescent="0.3">
      <c r="A1068" s="12"/>
      <c r="B1068" s="13"/>
      <c r="C1068" s="13"/>
      <c r="D1068" s="13"/>
      <c r="E1068" s="13"/>
      <c r="F1068" s="13"/>
      <c r="G1068" s="14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21">
        <f>SUM(H1068:DL1068)</f>
        <v>0</v>
      </c>
    </row>
    <row r="1069" spans="1:117" x14ac:dyDescent="0.3">
      <c r="A1069" s="12"/>
      <c r="B1069" s="13"/>
      <c r="C1069" s="13"/>
      <c r="D1069" s="13"/>
      <c r="E1069" s="13"/>
      <c r="F1069" s="13"/>
      <c r="G1069" s="14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6">
        <f>SUM(H1069:DL1069)</f>
        <v>0</v>
      </c>
    </row>
    <row r="1070" spans="1:117" x14ac:dyDescent="0.3">
      <c r="A1070" s="17" t="s">
        <v>895</v>
      </c>
      <c r="B1070" s="13" t="s">
        <v>896</v>
      </c>
      <c r="C1070" s="13" t="s">
        <v>347</v>
      </c>
      <c r="D1070" s="13">
        <v>0</v>
      </c>
      <c r="E1070" s="13">
        <f>65335.9417*B2</f>
        <v>65335.941700000003</v>
      </c>
      <c r="F1070" s="13">
        <f>D1070*E1070</f>
        <v>0</v>
      </c>
      <c r="G1070" s="14">
        <f>F1070/A1</f>
        <v>0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9"/>
    </row>
    <row r="1071" spans="1:117" x14ac:dyDescent="0.3">
      <c r="A1071" s="12"/>
      <c r="B1071" s="13"/>
      <c r="C1071" s="13"/>
      <c r="D1071" s="13"/>
      <c r="E1071" s="13"/>
      <c r="F1071" s="13"/>
      <c r="G1071" s="14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21">
        <f>SUM(H1071:DL1071)</f>
        <v>0</v>
      </c>
    </row>
    <row r="1072" spans="1:117" x14ac:dyDescent="0.3">
      <c r="A1072" s="12"/>
      <c r="B1072" s="13"/>
      <c r="C1072" s="13"/>
      <c r="D1072" s="13"/>
      <c r="E1072" s="13"/>
      <c r="F1072" s="13"/>
      <c r="G1072" s="14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6">
        <f>SUM(H1072:DL1072)</f>
        <v>0</v>
      </c>
    </row>
    <row r="1073" spans="1:117" x14ac:dyDescent="0.3">
      <c r="A1073" s="17" t="s">
        <v>897</v>
      </c>
      <c r="B1073" s="13" t="s">
        <v>898</v>
      </c>
      <c r="C1073" s="13" t="s">
        <v>728</v>
      </c>
      <c r="D1073" s="13">
        <v>0</v>
      </c>
      <c r="E1073" s="13">
        <f>34176896.8068*B2</f>
        <v>34176896.8068</v>
      </c>
      <c r="F1073" s="13">
        <f>D1073*E1073</f>
        <v>0</v>
      </c>
      <c r="G1073" s="14">
        <f>F1073/A1</f>
        <v>0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9"/>
    </row>
    <row r="1074" spans="1:117" x14ac:dyDescent="0.3">
      <c r="A1074" s="12"/>
      <c r="B1074" s="13"/>
      <c r="C1074" s="13"/>
      <c r="D1074" s="13"/>
      <c r="E1074" s="13"/>
      <c r="F1074" s="13"/>
      <c r="G1074" s="14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21">
        <f>SUM(H1074:DL1074)</f>
        <v>0</v>
      </c>
    </row>
    <row r="1075" spans="1:117" x14ac:dyDescent="0.3">
      <c r="A1075" s="12"/>
      <c r="B1075" s="13"/>
      <c r="C1075" s="13"/>
      <c r="D1075" s="13"/>
      <c r="E1075" s="13"/>
      <c r="F1075" s="13"/>
      <c r="G1075" s="14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6">
        <f>SUM(H1075:DL1075)</f>
        <v>0</v>
      </c>
    </row>
    <row r="1076" spans="1:117" x14ac:dyDescent="0.3">
      <c r="A1076" s="17" t="s">
        <v>899</v>
      </c>
      <c r="B1076" s="13" t="s">
        <v>900</v>
      </c>
      <c r="C1076" s="13" t="s">
        <v>804</v>
      </c>
      <c r="D1076" s="13">
        <v>0</v>
      </c>
      <c r="E1076" s="13">
        <f>2457949.6896*B2</f>
        <v>2457949.6896000002</v>
      </c>
      <c r="F1076" s="13">
        <f>D1076*E1076</f>
        <v>0</v>
      </c>
      <c r="G1076" s="14">
        <f>F1076/A1</f>
        <v>0</v>
      </c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9"/>
    </row>
    <row r="1077" spans="1:117" x14ac:dyDescent="0.3">
      <c r="A1077" s="12"/>
      <c r="B1077" s="13"/>
      <c r="C1077" s="13"/>
      <c r="D1077" s="13"/>
      <c r="E1077" s="13"/>
      <c r="F1077" s="13"/>
      <c r="G1077" s="14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21">
        <f>SUM(H1077:DL1077)</f>
        <v>0</v>
      </c>
    </row>
    <row r="1078" spans="1:117" x14ac:dyDescent="0.3">
      <c r="A1078" s="8" t="s">
        <v>901</v>
      </c>
      <c r="B1078" s="9" t="s">
        <v>902</v>
      </c>
      <c r="C1078" s="9"/>
      <c r="D1078" s="9"/>
      <c r="E1078" s="9"/>
      <c r="F1078" s="9"/>
      <c r="G1078" s="10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11"/>
    </row>
    <row r="1079" spans="1:117" x14ac:dyDescent="0.3">
      <c r="A1079" s="12"/>
      <c r="B1079" s="13"/>
      <c r="C1079" s="13"/>
      <c r="D1079" s="13"/>
      <c r="E1079" s="13"/>
      <c r="F1079" s="13"/>
      <c r="G1079" s="14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5">
        <v>1</v>
      </c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6">
        <f>SUM(H1079:DL1079)</f>
        <v>1</v>
      </c>
    </row>
    <row r="1080" spans="1:117" x14ac:dyDescent="0.3">
      <c r="A1080" s="17" t="s">
        <v>903</v>
      </c>
      <c r="B1080" s="13" t="s">
        <v>904</v>
      </c>
      <c r="C1080" s="13" t="s">
        <v>135</v>
      </c>
      <c r="D1080" s="13">
        <v>17548.509999999998</v>
      </c>
      <c r="E1080" s="13">
        <f>10227.1877*B2</f>
        <v>10227.1877</v>
      </c>
      <c r="F1080" s="13">
        <f>D1080*E1080</f>
        <v>179471905.62532699</v>
      </c>
      <c r="G1080" s="14">
        <f>F1080/A1</f>
        <v>2.3009559611470872E-3</v>
      </c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8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9"/>
    </row>
    <row r="1081" spans="1:117" x14ac:dyDescent="0.3">
      <c r="A1081" s="12"/>
      <c r="B1081" s="13"/>
      <c r="C1081" s="13"/>
      <c r="D1081" s="13"/>
      <c r="E1081" s="13"/>
      <c r="F1081" s="13"/>
      <c r="G1081" s="14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20">
        <f>+$D1080*BF1079</f>
        <v>17548.509999999998</v>
      </c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21">
        <f>SUM(H1081:DL1081)</f>
        <v>17548.509999999998</v>
      </c>
    </row>
    <row r="1082" spans="1:117" x14ac:dyDescent="0.3">
      <c r="A1082" s="12"/>
      <c r="B1082" s="13"/>
      <c r="C1082" s="13"/>
      <c r="D1082" s="13"/>
      <c r="E1082" s="13"/>
      <c r="F1082" s="13"/>
      <c r="G1082" s="14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5">
        <v>1</v>
      </c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6">
        <f>SUM(H1082:DL1082)</f>
        <v>1</v>
      </c>
    </row>
    <row r="1083" spans="1:117" x14ac:dyDescent="0.3">
      <c r="A1083" s="17" t="s">
        <v>905</v>
      </c>
      <c r="B1083" s="13" t="s">
        <v>906</v>
      </c>
      <c r="C1083" s="13" t="s">
        <v>135</v>
      </c>
      <c r="D1083" s="13">
        <v>595.35</v>
      </c>
      <c r="E1083" s="13">
        <f>65284.4814*B2</f>
        <v>65284.481399999997</v>
      </c>
      <c r="F1083" s="13">
        <f>D1083*E1083</f>
        <v>38867116.001489997</v>
      </c>
      <c r="G1083" s="14">
        <f>F1083/A1</f>
        <v>4.9830374255302511E-4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8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9"/>
    </row>
    <row r="1084" spans="1:117" x14ac:dyDescent="0.3">
      <c r="A1084" s="12"/>
      <c r="B1084" s="13"/>
      <c r="C1084" s="13"/>
      <c r="D1084" s="13"/>
      <c r="E1084" s="13"/>
      <c r="F1084" s="13"/>
      <c r="G1084" s="14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20">
        <f>+$D1083*BF1082</f>
        <v>595.35</v>
      </c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21">
        <f>SUM(H1084:DL1084)</f>
        <v>595.35</v>
      </c>
    </row>
    <row r="1085" spans="1:117" x14ac:dyDescent="0.3">
      <c r="A1085" s="12"/>
      <c r="B1085" s="13"/>
      <c r="C1085" s="13"/>
      <c r="D1085" s="13"/>
      <c r="E1085" s="13"/>
      <c r="F1085" s="13"/>
      <c r="G1085" s="14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5">
        <v>3.5298000000000003E-2</v>
      </c>
      <c r="CM1085" s="15">
        <v>0.117661</v>
      </c>
      <c r="CN1085" s="15">
        <v>0.117661</v>
      </c>
      <c r="CO1085" s="15">
        <v>0.117661</v>
      </c>
      <c r="CP1085" s="15">
        <v>0.117661</v>
      </c>
      <c r="CQ1085" s="15">
        <v>0.117661</v>
      </c>
      <c r="CR1085" s="15">
        <v>0.117661</v>
      </c>
      <c r="CS1085" s="15">
        <v>0.117661</v>
      </c>
      <c r="CT1085" s="15">
        <v>0.14107500000000001</v>
      </c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6">
        <f>SUM(H1085:DL1085)</f>
        <v>1</v>
      </c>
    </row>
    <row r="1086" spans="1:117" x14ac:dyDescent="0.3">
      <c r="A1086" s="17" t="s">
        <v>907</v>
      </c>
      <c r="B1086" s="13" t="s">
        <v>908</v>
      </c>
      <c r="C1086" s="13" t="s">
        <v>135</v>
      </c>
      <c r="D1086" s="13">
        <v>169.98</v>
      </c>
      <c r="E1086" s="13">
        <f>409317.8835*B2</f>
        <v>409317.8835</v>
      </c>
      <c r="F1086" s="13">
        <f>D1086*E1086</f>
        <v>69575853.837329999</v>
      </c>
      <c r="G1086" s="14">
        <f>F1086/A1</f>
        <v>8.9201134339719713E-4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8"/>
      <c r="CM1086" s="18"/>
      <c r="CN1086" s="18"/>
      <c r="CO1086" s="18"/>
      <c r="CP1086" s="18"/>
      <c r="CQ1086" s="18"/>
      <c r="CR1086" s="18"/>
      <c r="CS1086" s="18"/>
      <c r="CT1086" s="18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9"/>
    </row>
    <row r="1087" spans="1:117" x14ac:dyDescent="0.3">
      <c r="A1087" s="12"/>
      <c r="B1087" s="13"/>
      <c r="C1087" s="13"/>
      <c r="D1087" s="13"/>
      <c r="E1087" s="13"/>
      <c r="F1087" s="13"/>
      <c r="G1087" s="14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20">
        <f t="shared" ref="CL1087:CT1087" si="35">+$D1086*CL1085</f>
        <v>5.9999540400000004</v>
      </c>
      <c r="CM1087" s="20">
        <f t="shared" si="35"/>
        <v>20.000016779999999</v>
      </c>
      <c r="CN1087" s="20">
        <f t="shared" si="35"/>
        <v>20.000016779999999</v>
      </c>
      <c r="CO1087" s="20">
        <f t="shared" si="35"/>
        <v>20.000016779999999</v>
      </c>
      <c r="CP1087" s="20">
        <f t="shared" si="35"/>
        <v>20.000016779999999</v>
      </c>
      <c r="CQ1087" s="20">
        <f t="shared" si="35"/>
        <v>20.000016779999999</v>
      </c>
      <c r="CR1087" s="20">
        <f t="shared" si="35"/>
        <v>20.000016779999999</v>
      </c>
      <c r="CS1087" s="20">
        <f t="shared" si="35"/>
        <v>20.000016779999999</v>
      </c>
      <c r="CT1087" s="20">
        <f t="shared" si="35"/>
        <v>23.9799285</v>
      </c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21">
        <f>SUM(H1087:DL1087)</f>
        <v>169.98</v>
      </c>
    </row>
    <row r="1088" spans="1:117" x14ac:dyDescent="0.3">
      <c r="A1088" s="12"/>
      <c r="B1088" s="13"/>
      <c r="C1088" s="13"/>
      <c r="D1088" s="13"/>
      <c r="E1088" s="13"/>
      <c r="F1088" s="13"/>
      <c r="G1088" s="14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5">
        <v>3.5088000000000001E-2</v>
      </c>
      <c r="CM1088" s="15">
        <v>0.11695899999999999</v>
      </c>
      <c r="CN1088" s="15">
        <v>0.11695899999999999</v>
      </c>
      <c r="CO1088" s="15">
        <v>0.11695899999999999</v>
      </c>
      <c r="CP1088" s="15">
        <v>0.11695899999999999</v>
      </c>
      <c r="CQ1088" s="15">
        <v>0.11695899999999999</v>
      </c>
      <c r="CR1088" s="15">
        <v>0.11695899999999999</v>
      </c>
      <c r="CS1088" s="15">
        <v>0.11695899999999999</v>
      </c>
      <c r="CT1088" s="15">
        <v>0.146199</v>
      </c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6">
        <f>SUM(H1088:DL1088)</f>
        <v>1</v>
      </c>
    </row>
    <row r="1089" spans="1:117" x14ac:dyDescent="0.3">
      <c r="A1089" s="17" t="s">
        <v>909</v>
      </c>
      <c r="B1089" s="13" t="s">
        <v>910</v>
      </c>
      <c r="C1089" s="13" t="s">
        <v>135</v>
      </c>
      <c r="D1089" s="13">
        <v>684</v>
      </c>
      <c r="E1089" s="13">
        <f>1323565.2762*B2</f>
        <v>1323565.2762</v>
      </c>
      <c r="F1089" s="13">
        <f>D1089*E1089</f>
        <v>905318648.92079997</v>
      </c>
      <c r="G1089" s="14">
        <f>F1089/A1</f>
        <v>1.1606821327905798E-2</v>
      </c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8"/>
      <c r="CM1089" s="18"/>
      <c r="CN1089" s="18"/>
      <c r="CO1089" s="18"/>
      <c r="CP1089" s="18"/>
      <c r="CQ1089" s="18"/>
      <c r="CR1089" s="18"/>
      <c r="CS1089" s="18"/>
      <c r="CT1089" s="18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9"/>
    </row>
    <row r="1090" spans="1:117" x14ac:dyDescent="0.3">
      <c r="A1090" s="12"/>
      <c r="B1090" s="13"/>
      <c r="C1090" s="13"/>
      <c r="D1090" s="13"/>
      <c r="E1090" s="13"/>
      <c r="F1090" s="13"/>
      <c r="G1090" s="14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20">
        <f t="shared" ref="CL1090:CT1090" si="36">+$D1089*CL1088</f>
        <v>24.000192000000002</v>
      </c>
      <c r="CM1090" s="20">
        <f t="shared" si="36"/>
        <v>79.999955999999997</v>
      </c>
      <c r="CN1090" s="20">
        <f t="shared" si="36"/>
        <v>79.999955999999997</v>
      </c>
      <c r="CO1090" s="20">
        <f t="shared" si="36"/>
        <v>79.999955999999997</v>
      </c>
      <c r="CP1090" s="20">
        <f t="shared" si="36"/>
        <v>79.999955999999997</v>
      </c>
      <c r="CQ1090" s="20">
        <f t="shared" si="36"/>
        <v>79.999955999999997</v>
      </c>
      <c r="CR1090" s="20">
        <f t="shared" si="36"/>
        <v>79.999955999999997</v>
      </c>
      <c r="CS1090" s="20">
        <f t="shared" si="36"/>
        <v>79.999955999999997</v>
      </c>
      <c r="CT1090" s="20">
        <f t="shared" si="36"/>
        <v>100.00011599999999</v>
      </c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21">
        <f>SUM(H1090:DL1090)</f>
        <v>684</v>
      </c>
    </row>
    <row r="1091" spans="1:117" x14ac:dyDescent="0.3">
      <c r="A1091" s="12"/>
      <c r="B1091" s="13"/>
      <c r="C1091" s="13"/>
      <c r="D1091" s="13"/>
      <c r="E1091" s="13"/>
      <c r="F1091" s="13"/>
      <c r="G1091" s="14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5">
        <v>0.125</v>
      </c>
      <c r="CN1091" s="15">
        <v>0.125</v>
      </c>
      <c r="CO1091" s="15">
        <v>0.125</v>
      </c>
      <c r="CP1091" s="15">
        <v>0.125</v>
      </c>
      <c r="CQ1091" s="15">
        <v>0.125</v>
      </c>
      <c r="CR1091" s="15">
        <v>0.125</v>
      </c>
      <c r="CS1091" s="15">
        <v>0.125</v>
      </c>
      <c r="CT1091" s="15">
        <v>0.125</v>
      </c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6">
        <f>SUM(H1091:DL1091)</f>
        <v>1</v>
      </c>
    </row>
    <row r="1092" spans="1:117" x14ac:dyDescent="0.3">
      <c r="A1092" s="17" t="s">
        <v>911</v>
      </c>
      <c r="B1092" s="13" t="s">
        <v>912</v>
      </c>
      <c r="C1092" s="13" t="s">
        <v>277</v>
      </c>
      <c r="D1092" s="13">
        <v>2615.13</v>
      </c>
      <c r="E1092" s="13">
        <f>24796.3473*B2</f>
        <v>24796.347300000001</v>
      </c>
      <c r="F1092" s="13">
        <f>D1092*E1092</f>
        <v>64845671.714649007</v>
      </c>
      <c r="G1092" s="14">
        <f>F1092/A1</f>
        <v>8.3136708426052766E-4</v>
      </c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8"/>
      <c r="CN1092" s="18"/>
      <c r="CO1092" s="18"/>
      <c r="CP1092" s="18"/>
      <c r="CQ1092" s="18"/>
      <c r="CR1092" s="18"/>
      <c r="CS1092" s="18"/>
      <c r="CT1092" s="18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9"/>
    </row>
    <row r="1093" spans="1:117" x14ac:dyDescent="0.3">
      <c r="A1093" s="12"/>
      <c r="B1093" s="13"/>
      <c r="C1093" s="13"/>
      <c r="D1093" s="13"/>
      <c r="E1093" s="13"/>
      <c r="F1093" s="13"/>
      <c r="G1093" s="14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20">
        <f t="shared" ref="CM1093:CT1093" si="37">+$D1092*CM1091</f>
        <v>326.89125000000001</v>
      </c>
      <c r="CN1093" s="20">
        <f t="shared" si="37"/>
        <v>326.89125000000001</v>
      </c>
      <c r="CO1093" s="20">
        <f t="shared" si="37"/>
        <v>326.89125000000001</v>
      </c>
      <c r="CP1093" s="20">
        <f t="shared" si="37"/>
        <v>326.89125000000001</v>
      </c>
      <c r="CQ1093" s="20">
        <f t="shared" si="37"/>
        <v>326.89125000000001</v>
      </c>
      <c r="CR1093" s="20">
        <f t="shared" si="37"/>
        <v>326.89125000000001</v>
      </c>
      <c r="CS1093" s="20">
        <f t="shared" si="37"/>
        <v>326.89125000000001</v>
      </c>
      <c r="CT1093" s="20">
        <f t="shared" si="37"/>
        <v>326.89125000000001</v>
      </c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21">
        <f>SUM(H1093:DL1093)</f>
        <v>2615.1300000000006</v>
      </c>
    </row>
    <row r="1094" spans="1:117" x14ac:dyDescent="0.3">
      <c r="A1094" s="12"/>
      <c r="B1094" s="13"/>
      <c r="C1094" s="13"/>
      <c r="D1094" s="13"/>
      <c r="E1094" s="13"/>
      <c r="F1094" s="13"/>
      <c r="G1094" s="14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5">
        <v>0.5</v>
      </c>
      <c r="CX1094" s="15">
        <v>0.5</v>
      </c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6">
        <f>SUM(H1094:DL1094)</f>
        <v>1</v>
      </c>
    </row>
    <row r="1095" spans="1:117" x14ac:dyDescent="0.3">
      <c r="A1095" s="17" t="s">
        <v>913</v>
      </c>
      <c r="B1095" s="13" t="s">
        <v>914</v>
      </c>
      <c r="C1095" s="13" t="s">
        <v>277</v>
      </c>
      <c r="D1095" s="13">
        <v>7200</v>
      </c>
      <c r="E1095" s="13">
        <f>13243.8175*B2</f>
        <v>13243.817499999999</v>
      </c>
      <c r="F1095" s="13">
        <f>D1095*E1095</f>
        <v>95355486</v>
      </c>
      <c r="G1095" s="14">
        <f>F1095/A1</f>
        <v>1.222524345385982E-3</v>
      </c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8"/>
      <c r="CX1095" s="18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9"/>
    </row>
    <row r="1096" spans="1:117" x14ac:dyDescent="0.3">
      <c r="A1096" s="12"/>
      <c r="B1096" s="13"/>
      <c r="C1096" s="13"/>
      <c r="D1096" s="13"/>
      <c r="E1096" s="13"/>
      <c r="F1096" s="13"/>
      <c r="G1096" s="14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20">
        <f>+$D1095*CW1094</f>
        <v>3600</v>
      </c>
      <c r="CX1096" s="20">
        <f>+$D1095*CX1094</f>
        <v>3600</v>
      </c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21">
        <f>SUM(H1096:DL1096)</f>
        <v>7200</v>
      </c>
    </row>
    <row r="1097" spans="1:117" x14ac:dyDescent="0.3">
      <c r="A1097" s="8" t="s">
        <v>915</v>
      </c>
      <c r="B1097" s="9" t="s">
        <v>916</v>
      </c>
      <c r="C1097" s="9"/>
      <c r="D1097" s="9"/>
      <c r="E1097" s="9"/>
      <c r="F1097" s="9"/>
      <c r="G1097" s="10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11"/>
    </row>
    <row r="1098" spans="1:117" x14ac:dyDescent="0.3">
      <c r="A1098" s="12"/>
      <c r="B1098" s="13"/>
      <c r="C1098" s="13"/>
      <c r="D1098" s="13"/>
      <c r="E1098" s="13"/>
      <c r="F1098" s="13"/>
      <c r="G1098" s="14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5">
        <v>1</v>
      </c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6">
        <f>SUM(H1098:DL1098)</f>
        <v>1</v>
      </c>
    </row>
    <row r="1099" spans="1:117" x14ac:dyDescent="0.3">
      <c r="A1099" s="17" t="s">
        <v>917</v>
      </c>
      <c r="B1099" s="13" t="s">
        <v>918</v>
      </c>
      <c r="C1099" s="13" t="s">
        <v>135</v>
      </c>
      <c r="D1099" s="13">
        <v>87.28</v>
      </c>
      <c r="E1099" s="13">
        <f>22575.0003*B2</f>
        <v>22575.0003</v>
      </c>
      <c r="F1099" s="13">
        <f>D1099*E1099</f>
        <v>1970346.0261840001</v>
      </c>
      <c r="G1099" s="14">
        <f>F1099/A1</f>
        <v>2.5261220794831519E-5</v>
      </c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8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9"/>
    </row>
    <row r="1100" spans="1:117" x14ac:dyDescent="0.3">
      <c r="A1100" s="12"/>
      <c r="B1100" s="13"/>
      <c r="C1100" s="13"/>
      <c r="D1100" s="13"/>
      <c r="E1100" s="13"/>
      <c r="F1100" s="13"/>
      <c r="G1100" s="14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20">
        <f>+$D1099*CP1098</f>
        <v>87.28</v>
      </c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21">
        <f>SUM(H1100:DL1100)</f>
        <v>87.28</v>
      </c>
    </row>
    <row r="1101" spans="1:117" x14ac:dyDescent="0.3">
      <c r="A1101" s="12"/>
      <c r="B1101" s="13"/>
      <c r="C1101" s="13"/>
      <c r="D1101" s="13"/>
      <c r="E1101" s="13"/>
      <c r="F1101" s="13"/>
      <c r="G1101" s="14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5">
        <v>1</v>
      </c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6">
        <f>SUM(H1101:DL1101)</f>
        <v>1</v>
      </c>
    </row>
    <row r="1102" spans="1:117" x14ac:dyDescent="0.3">
      <c r="A1102" s="17" t="s">
        <v>919</v>
      </c>
      <c r="B1102" s="13" t="s">
        <v>920</v>
      </c>
      <c r="C1102" s="13" t="s">
        <v>135</v>
      </c>
      <c r="D1102" s="13">
        <v>6.12</v>
      </c>
      <c r="E1102" s="13">
        <f>409411.9266*B2</f>
        <v>409411.92660000001</v>
      </c>
      <c r="F1102" s="13">
        <f>D1102*E1102</f>
        <v>2505600.9907920002</v>
      </c>
      <c r="G1102" s="14">
        <f>F1102/A1</f>
        <v>3.2123565612852714E-5</v>
      </c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8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9"/>
    </row>
    <row r="1103" spans="1:117" x14ac:dyDescent="0.3">
      <c r="A1103" s="12"/>
      <c r="B1103" s="13"/>
      <c r="C1103" s="13"/>
      <c r="D1103" s="13"/>
      <c r="E1103" s="13"/>
      <c r="F1103" s="13"/>
      <c r="G1103" s="14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20">
        <f>+$D1102*CP1101</f>
        <v>6.12</v>
      </c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21">
        <f>SUM(H1103:DL1103)</f>
        <v>6.12</v>
      </c>
    </row>
    <row r="1104" spans="1:117" x14ac:dyDescent="0.3">
      <c r="A1104" s="12"/>
      <c r="B1104" s="13"/>
      <c r="C1104" s="13"/>
      <c r="D1104" s="13"/>
      <c r="E1104" s="13"/>
      <c r="F1104" s="13"/>
      <c r="G1104" s="14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5">
        <v>1</v>
      </c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6">
        <f>SUM(H1104:DL1104)</f>
        <v>1</v>
      </c>
    </row>
    <row r="1105" spans="1:117" x14ac:dyDescent="0.3">
      <c r="A1105" s="17" t="s">
        <v>921</v>
      </c>
      <c r="B1105" s="13" t="s">
        <v>922</v>
      </c>
      <c r="C1105" s="13" t="s">
        <v>135</v>
      </c>
      <c r="D1105" s="13">
        <v>12.64</v>
      </c>
      <c r="E1105" s="13">
        <f>191033.3609*B2</f>
        <v>191033.3609</v>
      </c>
      <c r="F1105" s="13">
        <f>D1105*E1105</f>
        <v>2414661.6817760002</v>
      </c>
      <c r="G1105" s="14">
        <f>F1105/A1</f>
        <v>3.0957659760045887E-5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8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9"/>
    </row>
    <row r="1106" spans="1:117" x14ac:dyDescent="0.3">
      <c r="A1106" s="12"/>
      <c r="B1106" s="13"/>
      <c r="C1106" s="13"/>
      <c r="D1106" s="13"/>
      <c r="E1106" s="13"/>
      <c r="F1106" s="13"/>
      <c r="G1106" s="14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20">
        <f>+$D1105*CP1104</f>
        <v>12.64</v>
      </c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21">
        <f>SUM(H1106:DL1106)</f>
        <v>12.64</v>
      </c>
    </row>
    <row r="1107" spans="1:117" x14ac:dyDescent="0.3">
      <c r="A1107" s="12"/>
      <c r="B1107" s="13"/>
      <c r="C1107" s="13"/>
      <c r="D1107" s="13"/>
      <c r="E1107" s="13"/>
      <c r="F1107" s="13"/>
      <c r="G1107" s="14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5">
        <v>0.2</v>
      </c>
      <c r="CQ1107" s="15">
        <v>0.4</v>
      </c>
      <c r="CR1107" s="15">
        <v>0.4</v>
      </c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6">
        <f>SUM(H1107:DL1107)</f>
        <v>1</v>
      </c>
    </row>
    <row r="1108" spans="1:117" x14ac:dyDescent="0.3">
      <c r="A1108" s="17" t="s">
        <v>923</v>
      </c>
      <c r="B1108" s="13" t="s">
        <v>924</v>
      </c>
      <c r="C1108" s="13" t="s">
        <v>135</v>
      </c>
      <c r="D1108" s="13">
        <v>88.52</v>
      </c>
      <c r="E1108" s="13">
        <f>677996.7572*B2</f>
        <v>677996.75719999999</v>
      </c>
      <c r="F1108" s="13">
        <f>D1108*E1108</f>
        <v>60016272.947343998</v>
      </c>
      <c r="G1108" s="14">
        <f>F1108/A1</f>
        <v>7.6945079801132941E-4</v>
      </c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8"/>
      <c r="CQ1108" s="18"/>
      <c r="CR1108" s="18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9"/>
    </row>
    <row r="1109" spans="1:117" x14ac:dyDescent="0.3">
      <c r="A1109" s="12"/>
      <c r="B1109" s="13"/>
      <c r="C1109" s="13"/>
      <c r="D1109" s="13"/>
      <c r="E1109" s="13"/>
      <c r="F1109" s="13"/>
      <c r="G1109" s="14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20">
        <f>+$D1108*CP1107</f>
        <v>17.704000000000001</v>
      </c>
      <c r="CQ1109" s="20">
        <f>+$D1108*CQ1107</f>
        <v>35.408000000000001</v>
      </c>
      <c r="CR1109" s="20">
        <f>+$D1108*CR1107</f>
        <v>35.408000000000001</v>
      </c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21">
        <f>SUM(H1109:DL1109)</f>
        <v>88.52000000000001</v>
      </c>
    </row>
    <row r="1110" spans="1:117" x14ac:dyDescent="0.3">
      <c r="A1110" s="12"/>
      <c r="B1110" s="13"/>
      <c r="C1110" s="13"/>
      <c r="D1110" s="13"/>
      <c r="E1110" s="13"/>
      <c r="F1110" s="13"/>
      <c r="G1110" s="14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5">
        <v>1</v>
      </c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6">
        <f>SUM(H1110:DL1110)</f>
        <v>1</v>
      </c>
    </row>
    <row r="1111" spans="1:117" x14ac:dyDescent="0.3">
      <c r="A1111" s="17" t="s">
        <v>925</v>
      </c>
      <c r="B1111" s="13" t="s">
        <v>926</v>
      </c>
      <c r="C1111" s="13" t="s">
        <v>135</v>
      </c>
      <c r="D1111" s="13">
        <v>40</v>
      </c>
      <c r="E1111" s="13">
        <f>0*B2</f>
        <v>0</v>
      </c>
      <c r="F1111" s="13">
        <f>D1111*E1111</f>
        <v>0</v>
      </c>
      <c r="G1111" s="14">
        <f>F1111/A1</f>
        <v>0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8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9"/>
    </row>
    <row r="1112" spans="1:117" x14ac:dyDescent="0.3">
      <c r="A1112" s="12"/>
      <c r="B1112" s="13"/>
      <c r="C1112" s="13"/>
      <c r="D1112" s="13"/>
      <c r="E1112" s="13"/>
      <c r="F1112" s="13"/>
      <c r="G1112" s="14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20">
        <f>+$D1111*CR1110</f>
        <v>40</v>
      </c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21">
        <f>SUM(H1112:DL1112)</f>
        <v>40</v>
      </c>
    </row>
    <row r="1113" spans="1:117" x14ac:dyDescent="0.3">
      <c r="A1113" s="12"/>
      <c r="B1113" s="13"/>
      <c r="C1113" s="13"/>
      <c r="D1113" s="13"/>
      <c r="E1113" s="13"/>
      <c r="F1113" s="13"/>
      <c r="G1113" s="14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5">
        <v>1</v>
      </c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6">
        <f>SUM(H1113:DL1113)</f>
        <v>1</v>
      </c>
    </row>
    <row r="1114" spans="1:117" x14ac:dyDescent="0.3">
      <c r="A1114" s="17" t="s">
        <v>927</v>
      </c>
      <c r="B1114" s="13" t="s">
        <v>928</v>
      </c>
      <c r="C1114" s="13" t="s">
        <v>277</v>
      </c>
      <c r="D1114" s="13">
        <v>43</v>
      </c>
      <c r="E1114" s="13">
        <f>0*B2</f>
        <v>0</v>
      </c>
      <c r="F1114" s="13">
        <f>D1114*E1114</f>
        <v>0</v>
      </c>
      <c r="G1114" s="14">
        <f>F1114/A1</f>
        <v>0</v>
      </c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8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9"/>
    </row>
    <row r="1115" spans="1:117" x14ac:dyDescent="0.3">
      <c r="A1115" s="12"/>
      <c r="B1115" s="13"/>
      <c r="C1115" s="13"/>
      <c r="D1115" s="13"/>
      <c r="E1115" s="13"/>
      <c r="F1115" s="13"/>
      <c r="G1115" s="14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20">
        <f>+$D1114*CR1113</f>
        <v>43</v>
      </c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21">
        <f>SUM(H1115:DL1115)</f>
        <v>43</v>
      </c>
    </row>
    <row r="1116" spans="1:117" x14ac:dyDescent="0.3">
      <c r="A1116" s="12"/>
      <c r="B1116" s="13"/>
      <c r="C1116" s="13"/>
      <c r="D1116" s="13"/>
      <c r="E1116" s="13"/>
      <c r="F1116" s="13"/>
      <c r="G1116" s="14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5">
        <v>1</v>
      </c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6">
        <f>SUM(H1116:DL1116)</f>
        <v>1</v>
      </c>
    </row>
    <row r="1117" spans="1:117" x14ac:dyDescent="0.3">
      <c r="A1117" s="17" t="s">
        <v>929</v>
      </c>
      <c r="B1117" s="13" t="s">
        <v>930</v>
      </c>
      <c r="C1117" s="13" t="s">
        <v>277</v>
      </c>
      <c r="D1117" s="13">
        <v>329</v>
      </c>
      <c r="E1117" s="13">
        <f>0*B2</f>
        <v>0</v>
      </c>
      <c r="F1117" s="13">
        <f>D1117*E1117</f>
        <v>0</v>
      </c>
      <c r="G1117" s="14">
        <f>F1117/A1</f>
        <v>0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8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9"/>
    </row>
    <row r="1118" spans="1:117" x14ac:dyDescent="0.3">
      <c r="A1118" s="12"/>
      <c r="B1118" s="13"/>
      <c r="C1118" s="13"/>
      <c r="D1118" s="13"/>
      <c r="E1118" s="13"/>
      <c r="F1118" s="13"/>
      <c r="G1118" s="14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20">
        <f>+$D1117*CS1116</f>
        <v>329</v>
      </c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21">
        <f>SUM(H1118:DL1118)</f>
        <v>329</v>
      </c>
    </row>
    <row r="1119" spans="1:117" x14ac:dyDescent="0.3">
      <c r="A1119" s="12"/>
      <c r="B1119" s="13"/>
      <c r="C1119" s="13"/>
      <c r="D1119" s="13"/>
      <c r="E1119" s="13"/>
      <c r="F1119" s="13"/>
      <c r="G1119" s="14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5">
        <v>1</v>
      </c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6">
        <f>SUM(H1119:DL1119)</f>
        <v>1</v>
      </c>
    </row>
    <row r="1120" spans="1:117" x14ac:dyDescent="0.3">
      <c r="A1120" s="17" t="s">
        <v>931</v>
      </c>
      <c r="B1120" s="13" t="s">
        <v>932</v>
      </c>
      <c r="C1120" s="13" t="s">
        <v>277</v>
      </c>
      <c r="D1120" s="13">
        <v>210</v>
      </c>
      <c r="E1120" s="13">
        <f>0*B2</f>
        <v>0</v>
      </c>
      <c r="F1120" s="13">
        <f>D1120*E1120</f>
        <v>0</v>
      </c>
      <c r="G1120" s="14">
        <f>F1120/A1</f>
        <v>0</v>
      </c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8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9"/>
    </row>
    <row r="1121" spans="1:117" x14ac:dyDescent="0.3">
      <c r="A1121" s="12"/>
      <c r="B1121" s="13"/>
      <c r="C1121" s="13"/>
      <c r="D1121" s="13"/>
      <c r="E1121" s="13"/>
      <c r="F1121" s="13"/>
      <c r="G1121" s="14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20">
        <f>+$D1120*CS1119</f>
        <v>210</v>
      </c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21">
        <f>SUM(H1121:DL1121)</f>
        <v>210</v>
      </c>
    </row>
    <row r="1122" spans="1:117" x14ac:dyDescent="0.3">
      <c r="A1122" s="12"/>
      <c r="B1122" s="13"/>
      <c r="C1122" s="13"/>
      <c r="D1122" s="13"/>
      <c r="E1122" s="13"/>
      <c r="F1122" s="13"/>
      <c r="G1122" s="14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5">
        <v>1</v>
      </c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6">
        <f>SUM(H1122:DL1122)</f>
        <v>1</v>
      </c>
    </row>
    <row r="1123" spans="1:117" x14ac:dyDescent="0.3">
      <c r="A1123" s="17" t="s">
        <v>933</v>
      </c>
      <c r="B1123" s="13" t="s">
        <v>934</v>
      </c>
      <c r="C1123" s="13" t="s">
        <v>277</v>
      </c>
      <c r="D1123" s="13">
        <v>93</v>
      </c>
      <c r="E1123" s="13">
        <f>0*B2</f>
        <v>0</v>
      </c>
      <c r="F1123" s="13">
        <f>D1123*E1123</f>
        <v>0</v>
      </c>
      <c r="G1123" s="14">
        <f>F1123/A1</f>
        <v>0</v>
      </c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8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9"/>
    </row>
    <row r="1124" spans="1:117" x14ac:dyDescent="0.3">
      <c r="A1124" s="12"/>
      <c r="B1124" s="13"/>
      <c r="C1124" s="13"/>
      <c r="D1124" s="13"/>
      <c r="E1124" s="13"/>
      <c r="F1124" s="13"/>
      <c r="G1124" s="14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20">
        <f>+$D1123*CS1122</f>
        <v>93</v>
      </c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21">
        <f>SUM(H1124:DL1124)</f>
        <v>93</v>
      </c>
    </row>
    <row r="1125" spans="1:117" x14ac:dyDescent="0.3">
      <c r="A1125" s="12"/>
      <c r="B1125" s="13"/>
      <c r="C1125" s="13"/>
      <c r="D1125" s="13"/>
      <c r="E1125" s="13"/>
      <c r="F1125" s="13"/>
      <c r="G1125" s="14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5">
        <v>1</v>
      </c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6">
        <f>SUM(H1125:DL1125)</f>
        <v>1</v>
      </c>
    </row>
    <row r="1126" spans="1:117" x14ac:dyDescent="0.3">
      <c r="A1126" s="17" t="s">
        <v>935</v>
      </c>
      <c r="B1126" s="13" t="s">
        <v>936</v>
      </c>
      <c r="C1126" s="13" t="s">
        <v>135</v>
      </c>
      <c r="D1126" s="13">
        <v>78</v>
      </c>
      <c r="E1126" s="13">
        <f>65271.7598*B2</f>
        <v>65271.7598</v>
      </c>
      <c r="F1126" s="13">
        <f>D1126*E1126</f>
        <v>5091197.2643999998</v>
      </c>
      <c r="G1126" s="14">
        <f>F1126/A1</f>
        <v>6.5272726971277902E-5</v>
      </c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8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9"/>
    </row>
    <row r="1127" spans="1:117" x14ac:dyDescent="0.3">
      <c r="A1127" s="12"/>
      <c r="B1127" s="13"/>
      <c r="C1127" s="13"/>
      <c r="D1127" s="13"/>
      <c r="E1127" s="13"/>
      <c r="F1127" s="13"/>
      <c r="G1127" s="14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20">
        <f>+$D1126*CS1125</f>
        <v>78</v>
      </c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21">
        <f>SUM(H1127:DL1127)</f>
        <v>78</v>
      </c>
    </row>
    <row r="1128" spans="1:117" x14ac:dyDescent="0.3">
      <c r="A1128" s="12"/>
      <c r="B1128" s="13"/>
      <c r="C1128" s="13"/>
      <c r="D1128" s="13"/>
      <c r="E1128" s="13"/>
      <c r="F1128" s="13"/>
      <c r="G1128" s="14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5">
        <v>1</v>
      </c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6">
        <f>SUM(H1128:DL1128)</f>
        <v>1</v>
      </c>
    </row>
    <row r="1129" spans="1:117" x14ac:dyDescent="0.3">
      <c r="A1129" s="17" t="s">
        <v>937</v>
      </c>
      <c r="B1129" s="13" t="s">
        <v>938</v>
      </c>
      <c r="C1129" s="13" t="s">
        <v>135</v>
      </c>
      <c r="D1129" s="13">
        <v>78</v>
      </c>
      <c r="E1129" s="13">
        <f>251692.5306*B2</f>
        <v>251692.5306</v>
      </c>
      <c r="F1129" s="13">
        <f>D1129*E1129</f>
        <v>19632017.386799999</v>
      </c>
      <c r="G1129" s="14">
        <f>F1129/A1</f>
        <v>2.5169626008097622E-4</v>
      </c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8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9"/>
    </row>
    <row r="1130" spans="1:117" x14ac:dyDescent="0.3">
      <c r="A1130" s="12"/>
      <c r="B1130" s="13"/>
      <c r="C1130" s="13"/>
      <c r="D1130" s="13"/>
      <c r="E1130" s="13"/>
      <c r="F1130" s="13"/>
      <c r="G1130" s="14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20">
        <f>+$D1129*CS1128</f>
        <v>78</v>
      </c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21">
        <f>SUM(H1130:DL1130)</f>
        <v>78</v>
      </c>
    </row>
    <row r="1131" spans="1:117" x14ac:dyDescent="0.3">
      <c r="A1131" s="12"/>
      <c r="B1131" s="13"/>
      <c r="C1131" s="13"/>
      <c r="D1131" s="13"/>
      <c r="E1131" s="13"/>
      <c r="F1131" s="13"/>
      <c r="G1131" s="14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5">
        <v>1</v>
      </c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6">
        <f>SUM(H1131:DL1131)</f>
        <v>1</v>
      </c>
    </row>
    <row r="1132" spans="1:117" x14ac:dyDescent="0.3">
      <c r="A1132" s="17" t="s">
        <v>939</v>
      </c>
      <c r="B1132" s="13" t="s">
        <v>940</v>
      </c>
      <c r="C1132" s="13" t="s">
        <v>277</v>
      </c>
      <c r="D1132" s="13">
        <v>44</v>
      </c>
      <c r="E1132" s="13">
        <f>40199.5939*B2</f>
        <v>40199.5939</v>
      </c>
      <c r="F1132" s="13">
        <f>D1132*E1132</f>
        <v>1768782.1316</v>
      </c>
      <c r="G1132" s="14">
        <f>F1132/A1</f>
        <v>2.2677030009209036E-5</v>
      </c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8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9"/>
    </row>
    <row r="1133" spans="1:117" x14ac:dyDescent="0.3">
      <c r="A1133" s="12"/>
      <c r="B1133" s="13"/>
      <c r="C1133" s="13"/>
      <c r="D1133" s="13"/>
      <c r="E1133" s="13"/>
      <c r="F1133" s="13"/>
      <c r="G1133" s="14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20">
        <f>+$D1132*CT1131</f>
        <v>44</v>
      </c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21">
        <f>SUM(H1133:DL1133)</f>
        <v>44</v>
      </c>
    </row>
    <row r="1134" spans="1:117" x14ac:dyDescent="0.3">
      <c r="A1134" s="12"/>
      <c r="B1134" s="13"/>
      <c r="C1134" s="13"/>
      <c r="D1134" s="13"/>
      <c r="E1134" s="13"/>
      <c r="F1134" s="13"/>
      <c r="G1134" s="14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5">
        <v>1</v>
      </c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6">
        <f>SUM(H1134:DL1134)</f>
        <v>1</v>
      </c>
    </row>
    <row r="1135" spans="1:117" x14ac:dyDescent="0.3">
      <c r="A1135" s="17" t="s">
        <v>941</v>
      </c>
      <c r="B1135" s="13" t="s">
        <v>942</v>
      </c>
      <c r="C1135" s="13" t="s">
        <v>277</v>
      </c>
      <c r="D1135" s="13">
        <v>37</v>
      </c>
      <c r="E1135" s="13">
        <f>40199.5939*B2</f>
        <v>40199.5939</v>
      </c>
      <c r="F1135" s="13">
        <f>D1135*E1135</f>
        <v>1487384.9742999999</v>
      </c>
      <c r="G1135" s="14">
        <f>F1135/A1</f>
        <v>1.9069320689562142E-5</v>
      </c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8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9"/>
    </row>
    <row r="1136" spans="1:117" x14ac:dyDescent="0.3">
      <c r="A1136" s="12"/>
      <c r="B1136" s="13"/>
      <c r="C1136" s="13"/>
      <c r="D1136" s="13"/>
      <c r="E1136" s="13"/>
      <c r="F1136" s="13"/>
      <c r="G1136" s="14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20">
        <f>+$D1135*CT1134</f>
        <v>37</v>
      </c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21">
        <f>SUM(H1136:DL1136)</f>
        <v>37</v>
      </c>
    </row>
    <row r="1137" spans="1:117" x14ac:dyDescent="0.3">
      <c r="A1137" s="12"/>
      <c r="B1137" s="13"/>
      <c r="C1137" s="13"/>
      <c r="D1137" s="13"/>
      <c r="E1137" s="13"/>
      <c r="F1137" s="13"/>
      <c r="G1137" s="14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5">
        <v>1</v>
      </c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6">
        <f>SUM(H1137:DL1137)</f>
        <v>1</v>
      </c>
    </row>
    <row r="1138" spans="1:117" x14ac:dyDescent="0.3">
      <c r="A1138" s="17" t="s">
        <v>943</v>
      </c>
      <c r="B1138" s="13" t="s">
        <v>944</v>
      </c>
      <c r="C1138" s="13" t="s">
        <v>277</v>
      </c>
      <c r="D1138" s="13">
        <v>17</v>
      </c>
      <c r="E1138" s="13">
        <f>62909.238*B2</f>
        <v>62909.237999999998</v>
      </c>
      <c r="F1138" s="13">
        <f>D1138*E1138</f>
        <v>1069457.0459999999</v>
      </c>
      <c r="G1138" s="14">
        <f>F1138/A1</f>
        <v>1.3711190933257641E-5</v>
      </c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8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9"/>
    </row>
    <row r="1139" spans="1:117" x14ac:dyDescent="0.3">
      <c r="A1139" s="12"/>
      <c r="B1139" s="13"/>
      <c r="C1139" s="13"/>
      <c r="D1139" s="13"/>
      <c r="E1139" s="13"/>
      <c r="F1139" s="13"/>
      <c r="G1139" s="14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20">
        <f>+$D1138*CT1137</f>
        <v>17</v>
      </c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21">
        <f>SUM(H1139:DL1139)</f>
        <v>17</v>
      </c>
    </row>
    <row r="1140" spans="1:117" x14ac:dyDescent="0.3">
      <c r="A1140" s="12"/>
      <c r="B1140" s="13"/>
      <c r="C1140" s="13"/>
      <c r="D1140" s="13"/>
      <c r="E1140" s="13"/>
      <c r="F1140" s="13"/>
      <c r="G1140" s="14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5">
        <v>1</v>
      </c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6">
        <f>SUM(H1140:DL1140)</f>
        <v>1</v>
      </c>
    </row>
    <row r="1141" spans="1:117" x14ac:dyDescent="0.3">
      <c r="A1141" s="17" t="s">
        <v>945</v>
      </c>
      <c r="B1141" s="13" t="s">
        <v>946</v>
      </c>
      <c r="C1141" s="13" t="s">
        <v>126</v>
      </c>
      <c r="D1141" s="13">
        <v>58</v>
      </c>
      <c r="E1141" s="13">
        <f>11097.3177*B2</f>
        <v>11097.3177</v>
      </c>
      <c r="F1141" s="13">
        <f>D1141*E1141</f>
        <v>643644.42660000001</v>
      </c>
      <c r="G1141" s="14">
        <f>F1141/A1</f>
        <v>8.2519738957704093E-6</v>
      </c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8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9"/>
    </row>
    <row r="1142" spans="1:117" x14ac:dyDescent="0.3">
      <c r="A1142" s="12"/>
      <c r="B1142" s="13"/>
      <c r="C1142" s="13"/>
      <c r="D1142" s="13"/>
      <c r="E1142" s="13"/>
      <c r="F1142" s="13"/>
      <c r="G1142" s="14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20">
        <f>+$D1141*CT1140</f>
        <v>58</v>
      </c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21">
        <f>SUM(H1142:DL1142)</f>
        <v>58</v>
      </c>
    </row>
    <row r="1143" spans="1:117" x14ac:dyDescent="0.3">
      <c r="A1143" s="12"/>
      <c r="B1143" s="13"/>
      <c r="C1143" s="13"/>
      <c r="D1143" s="13"/>
      <c r="E1143" s="13"/>
      <c r="F1143" s="13"/>
      <c r="G1143" s="14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5">
        <v>1</v>
      </c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6">
        <f>SUM(H1143:DL1143)</f>
        <v>1</v>
      </c>
    </row>
    <row r="1144" spans="1:117" x14ac:dyDescent="0.3">
      <c r="A1144" s="17" t="s">
        <v>947</v>
      </c>
      <c r="B1144" s="13" t="s">
        <v>948</v>
      </c>
      <c r="C1144" s="13" t="s">
        <v>277</v>
      </c>
      <c r="D1144" s="13">
        <v>110</v>
      </c>
      <c r="E1144" s="13">
        <f>0*B2</f>
        <v>0</v>
      </c>
      <c r="F1144" s="13">
        <f>D1144*E1144</f>
        <v>0</v>
      </c>
      <c r="G1144" s="14">
        <f>F1144/A1</f>
        <v>0</v>
      </c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8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9"/>
    </row>
    <row r="1145" spans="1:117" x14ac:dyDescent="0.3">
      <c r="A1145" s="12"/>
      <c r="B1145" s="13"/>
      <c r="C1145" s="13"/>
      <c r="D1145" s="13"/>
      <c r="E1145" s="13"/>
      <c r="F1145" s="13"/>
      <c r="G1145" s="14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20">
        <f>+$D1144*CT1143</f>
        <v>110</v>
      </c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21">
        <f>SUM(H1145:DL1145)</f>
        <v>110</v>
      </c>
    </row>
    <row r="1146" spans="1:117" x14ac:dyDescent="0.3">
      <c r="A1146" s="12"/>
      <c r="B1146" s="13"/>
      <c r="C1146" s="13"/>
      <c r="D1146" s="13"/>
      <c r="E1146" s="13"/>
      <c r="F1146" s="13"/>
      <c r="G1146" s="14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5">
        <v>0.45454499999999998</v>
      </c>
      <c r="CU1146" s="15">
        <v>0.54545500000000002</v>
      </c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6">
        <f>SUM(H1146:DL1146)</f>
        <v>1</v>
      </c>
    </row>
    <row r="1147" spans="1:117" x14ac:dyDescent="0.3">
      <c r="A1147" s="17" t="s">
        <v>949</v>
      </c>
      <c r="B1147" s="13" t="s">
        <v>950</v>
      </c>
      <c r="C1147" s="13" t="s">
        <v>277</v>
      </c>
      <c r="D1147" s="13">
        <v>110</v>
      </c>
      <c r="E1147" s="13">
        <f>0*B2</f>
        <v>0</v>
      </c>
      <c r="F1147" s="13">
        <f>D1147*E1147</f>
        <v>0</v>
      </c>
      <c r="G1147" s="14">
        <f>F1147/A1</f>
        <v>0</v>
      </c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8"/>
      <c r="CU1147" s="18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9"/>
    </row>
    <row r="1148" spans="1:117" x14ac:dyDescent="0.3">
      <c r="A1148" s="12"/>
      <c r="B1148" s="13"/>
      <c r="C1148" s="13"/>
      <c r="D1148" s="13"/>
      <c r="E1148" s="13"/>
      <c r="F1148" s="13"/>
      <c r="G1148" s="14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20">
        <f>+$D1147*CT1146</f>
        <v>49.999949999999998</v>
      </c>
      <c r="CU1148" s="20">
        <f>+$D1147*CU1146</f>
        <v>60.000050000000002</v>
      </c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21">
        <f>SUM(H1148:DL1148)</f>
        <v>110</v>
      </c>
    </row>
    <row r="1149" spans="1:117" x14ac:dyDescent="0.3">
      <c r="A1149" s="12"/>
      <c r="B1149" s="13"/>
      <c r="C1149" s="13"/>
      <c r="D1149" s="13"/>
      <c r="E1149" s="13"/>
      <c r="F1149" s="13"/>
      <c r="G1149" s="14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5">
        <v>1</v>
      </c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6">
        <f>SUM(H1149:DL1149)</f>
        <v>1</v>
      </c>
    </row>
    <row r="1150" spans="1:117" x14ac:dyDescent="0.3">
      <c r="A1150" s="17" t="s">
        <v>951</v>
      </c>
      <c r="B1150" s="13" t="s">
        <v>952</v>
      </c>
      <c r="C1150" s="13" t="s">
        <v>277</v>
      </c>
      <c r="D1150" s="13">
        <v>309</v>
      </c>
      <c r="E1150" s="13">
        <f>0*B2</f>
        <v>0</v>
      </c>
      <c r="F1150" s="13">
        <f>D1150*E1150</f>
        <v>0</v>
      </c>
      <c r="G1150" s="14">
        <f>F1150/A1</f>
        <v>0</v>
      </c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8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9"/>
    </row>
    <row r="1151" spans="1:117" x14ac:dyDescent="0.3">
      <c r="A1151" s="12"/>
      <c r="B1151" s="13"/>
      <c r="C1151" s="13"/>
      <c r="D1151" s="13"/>
      <c r="E1151" s="13"/>
      <c r="F1151" s="13"/>
      <c r="G1151" s="14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20">
        <f>+$D1150*CU1149</f>
        <v>309</v>
      </c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21">
        <f>SUM(H1151:DL1151)</f>
        <v>309</v>
      </c>
    </row>
    <row r="1152" spans="1:117" x14ac:dyDescent="0.3">
      <c r="A1152" s="12"/>
      <c r="B1152" s="13"/>
      <c r="C1152" s="13"/>
      <c r="D1152" s="13"/>
      <c r="E1152" s="13"/>
      <c r="F1152" s="13"/>
      <c r="G1152" s="14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5">
        <v>1</v>
      </c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6">
        <f>SUM(H1152:DL1152)</f>
        <v>1</v>
      </c>
    </row>
    <row r="1153" spans="1:117" x14ac:dyDescent="0.3">
      <c r="A1153" s="17" t="s">
        <v>953</v>
      </c>
      <c r="B1153" s="13" t="s">
        <v>954</v>
      </c>
      <c r="C1153" s="13" t="s">
        <v>319</v>
      </c>
      <c r="D1153" s="13">
        <v>1</v>
      </c>
      <c r="E1153" s="13">
        <f>63786943.5351*B2</f>
        <v>63786943.535099998</v>
      </c>
      <c r="F1153" s="13">
        <f>D1153*E1153</f>
        <v>63786943.535099998</v>
      </c>
      <c r="G1153" s="14">
        <f>F1153/A1</f>
        <v>8.1779344493530999E-4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8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9"/>
    </row>
    <row r="1154" spans="1:117" x14ac:dyDescent="0.3">
      <c r="A1154" s="12"/>
      <c r="B1154" s="13"/>
      <c r="C1154" s="13"/>
      <c r="D1154" s="13"/>
      <c r="E1154" s="13"/>
      <c r="F1154" s="13"/>
      <c r="G1154" s="14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20">
        <f>+$D1153*CU1152</f>
        <v>1</v>
      </c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21">
        <f>SUM(H1154:DL1154)</f>
        <v>1</v>
      </c>
    </row>
    <row r="1155" spans="1:117" x14ac:dyDescent="0.3">
      <c r="A1155" s="12"/>
      <c r="B1155" s="13"/>
      <c r="C1155" s="13"/>
      <c r="D1155" s="13"/>
      <c r="E1155" s="13"/>
      <c r="F1155" s="13"/>
      <c r="G1155" s="14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5">
        <v>1</v>
      </c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6">
        <f>SUM(H1155:DL1155)</f>
        <v>1</v>
      </c>
    </row>
    <row r="1156" spans="1:117" x14ac:dyDescent="0.3">
      <c r="A1156" s="17" t="s">
        <v>955</v>
      </c>
      <c r="B1156" s="13" t="s">
        <v>956</v>
      </c>
      <c r="C1156" s="13" t="s">
        <v>319</v>
      </c>
      <c r="D1156" s="13">
        <v>1</v>
      </c>
      <c r="E1156" s="13">
        <f>241449.2393*B2</f>
        <v>241449.23929999999</v>
      </c>
      <c r="F1156" s="13">
        <f>D1156*E1156</f>
        <v>241449.23929999999</v>
      </c>
      <c r="G1156" s="14">
        <f>F1156/A1</f>
        <v>3.0955489358963133E-6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8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9"/>
    </row>
    <row r="1157" spans="1:117" x14ac:dyDescent="0.3">
      <c r="A1157" s="12"/>
      <c r="B1157" s="13"/>
      <c r="C1157" s="13"/>
      <c r="D1157" s="13"/>
      <c r="E1157" s="13"/>
      <c r="F1157" s="13"/>
      <c r="G1157" s="14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20">
        <f>+$D1156*CU1155</f>
        <v>1</v>
      </c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21">
        <f>SUM(H1157:DL1157)</f>
        <v>1</v>
      </c>
    </row>
    <row r="1158" spans="1:117" x14ac:dyDescent="0.3">
      <c r="A1158" s="12"/>
      <c r="B1158" s="13"/>
      <c r="C1158" s="13"/>
      <c r="D1158" s="13"/>
      <c r="E1158" s="13"/>
      <c r="F1158" s="13"/>
      <c r="G1158" s="14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5">
        <v>0.5</v>
      </c>
      <c r="CS1158" s="13"/>
      <c r="CT1158" s="15">
        <v>0.3</v>
      </c>
      <c r="CU1158" s="15">
        <v>0.2</v>
      </c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6">
        <f>SUM(H1158:DL1158)</f>
        <v>1</v>
      </c>
    </row>
    <row r="1159" spans="1:117" x14ac:dyDescent="0.3">
      <c r="A1159" s="17" t="s">
        <v>957</v>
      </c>
      <c r="B1159" s="13" t="s">
        <v>958</v>
      </c>
      <c r="C1159" s="13" t="s">
        <v>319</v>
      </c>
      <c r="D1159" s="13">
        <v>1</v>
      </c>
      <c r="E1159" s="13">
        <f>4901805.744*B2</f>
        <v>4901805.7439999999</v>
      </c>
      <c r="F1159" s="13">
        <f>D1159*E1159</f>
        <v>4901805.7439999999</v>
      </c>
      <c r="G1159" s="14">
        <f>F1159/A1</f>
        <v>6.2844594577315114E-5</v>
      </c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8"/>
      <c r="CS1159" s="13"/>
      <c r="CT1159" s="18"/>
      <c r="CU1159" s="18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9"/>
    </row>
    <row r="1160" spans="1:117" x14ac:dyDescent="0.3">
      <c r="A1160" s="12"/>
      <c r="B1160" s="13"/>
      <c r="C1160" s="13"/>
      <c r="D1160" s="13"/>
      <c r="E1160" s="13"/>
      <c r="F1160" s="13"/>
      <c r="G1160" s="14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20">
        <f>+$D1159*CR1158</f>
        <v>0.5</v>
      </c>
      <c r="CS1160" s="13"/>
      <c r="CT1160" s="20">
        <f>+$D1159*CT1158</f>
        <v>0.3</v>
      </c>
      <c r="CU1160" s="20">
        <f>+$D1159*CU1158</f>
        <v>0.2</v>
      </c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21">
        <f>SUM(H1160:DL1160)</f>
        <v>1</v>
      </c>
    </row>
    <row r="1161" spans="1:117" x14ac:dyDescent="0.3">
      <c r="A1161" s="12"/>
      <c r="B1161" s="13"/>
      <c r="C1161" s="13"/>
      <c r="D1161" s="13"/>
      <c r="E1161" s="13"/>
      <c r="F1161" s="13"/>
      <c r="G1161" s="14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5">
        <v>0.5</v>
      </c>
      <c r="CS1161" s="13"/>
      <c r="CT1161" s="15">
        <v>0.3</v>
      </c>
      <c r="CU1161" s="15">
        <v>0.2</v>
      </c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6">
        <f>SUM(H1161:DL1161)</f>
        <v>1</v>
      </c>
    </row>
    <row r="1162" spans="1:117" x14ac:dyDescent="0.3">
      <c r="A1162" s="17" t="s">
        <v>959</v>
      </c>
      <c r="B1162" s="13" t="s">
        <v>960</v>
      </c>
      <c r="C1162" s="13" t="s">
        <v>319</v>
      </c>
      <c r="D1162" s="13">
        <v>1</v>
      </c>
      <c r="E1162" s="13">
        <f>4116343.48*B2</f>
        <v>4116343.48</v>
      </c>
      <c r="F1162" s="13">
        <f>D1162*E1162</f>
        <v>4116343.48</v>
      </c>
      <c r="G1162" s="14">
        <f>F1162/A1</f>
        <v>5.2774416337942583E-5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8"/>
      <c r="CS1162" s="13"/>
      <c r="CT1162" s="18"/>
      <c r="CU1162" s="18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9"/>
    </row>
    <row r="1163" spans="1:117" x14ac:dyDescent="0.3">
      <c r="A1163" s="12"/>
      <c r="B1163" s="13"/>
      <c r="C1163" s="13"/>
      <c r="D1163" s="13"/>
      <c r="E1163" s="13"/>
      <c r="F1163" s="13"/>
      <c r="G1163" s="14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20">
        <f>+$D1162*CR1161</f>
        <v>0.5</v>
      </c>
      <c r="CS1163" s="13"/>
      <c r="CT1163" s="20">
        <f>+$D1162*CT1161</f>
        <v>0.3</v>
      </c>
      <c r="CU1163" s="20">
        <f>+$D1162*CU1161</f>
        <v>0.2</v>
      </c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21">
        <f>SUM(H1163:DL1163)</f>
        <v>1</v>
      </c>
    </row>
    <row r="1164" spans="1:117" x14ac:dyDescent="0.3">
      <c r="A1164" s="8" t="s">
        <v>961</v>
      </c>
      <c r="B1164" s="9" t="s">
        <v>962</v>
      </c>
      <c r="C1164" s="9"/>
      <c r="D1164" s="9"/>
      <c r="E1164" s="9"/>
      <c r="F1164" s="9"/>
      <c r="G1164" s="10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  <c r="DC1164" s="9"/>
      <c r="DD1164" s="9"/>
      <c r="DE1164" s="9"/>
      <c r="DF1164" s="9"/>
      <c r="DG1164" s="9"/>
      <c r="DH1164" s="9"/>
      <c r="DI1164" s="9"/>
      <c r="DJ1164" s="9"/>
      <c r="DK1164" s="9"/>
      <c r="DL1164" s="9"/>
      <c r="DM1164" s="11"/>
    </row>
    <row r="1165" spans="1:117" x14ac:dyDescent="0.3">
      <c r="A1165" s="12"/>
      <c r="B1165" s="13"/>
      <c r="C1165" s="13"/>
      <c r="D1165" s="13"/>
      <c r="E1165" s="13"/>
      <c r="F1165" s="13"/>
      <c r="G1165" s="14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5">
        <v>1</v>
      </c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6">
        <f>SUM(H1165:DL1165)</f>
        <v>1</v>
      </c>
    </row>
    <row r="1166" spans="1:117" x14ac:dyDescent="0.3">
      <c r="A1166" s="17" t="s">
        <v>963</v>
      </c>
      <c r="B1166" s="13" t="s">
        <v>964</v>
      </c>
      <c r="C1166" s="13" t="s">
        <v>135</v>
      </c>
      <c r="D1166" s="13">
        <v>110.6</v>
      </c>
      <c r="E1166" s="13">
        <f>22575.0003*B2</f>
        <v>22575.0003</v>
      </c>
      <c r="F1166" s="13">
        <f>D1166*E1166</f>
        <v>2496795.0331799998</v>
      </c>
      <c r="G1166" s="14">
        <f>F1166/A1</f>
        <v>3.2010667047529395E-5</v>
      </c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8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9"/>
    </row>
    <row r="1167" spans="1:117" x14ac:dyDescent="0.3">
      <c r="A1167" s="12"/>
      <c r="B1167" s="13"/>
      <c r="C1167" s="13"/>
      <c r="D1167" s="13"/>
      <c r="E1167" s="13"/>
      <c r="F1167" s="13"/>
      <c r="G1167" s="14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20">
        <f>+$D1166*CV1165</f>
        <v>110.6</v>
      </c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21">
        <f>SUM(H1167:DL1167)</f>
        <v>110.6</v>
      </c>
    </row>
    <row r="1168" spans="1:117" x14ac:dyDescent="0.3">
      <c r="A1168" s="12"/>
      <c r="B1168" s="13"/>
      <c r="C1168" s="13"/>
      <c r="D1168" s="13"/>
      <c r="E1168" s="13"/>
      <c r="F1168" s="13"/>
      <c r="G1168" s="14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5">
        <v>1</v>
      </c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6">
        <f>SUM(H1168:DL1168)</f>
        <v>1</v>
      </c>
    </row>
    <row r="1169" spans="1:117" x14ac:dyDescent="0.3">
      <c r="A1169" s="17" t="s">
        <v>965</v>
      </c>
      <c r="B1169" s="13" t="s">
        <v>966</v>
      </c>
      <c r="C1169" s="13" t="s">
        <v>135</v>
      </c>
      <c r="D1169" s="13">
        <v>8.3000000000000007</v>
      </c>
      <c r="E1169" s="13">
        <f>409426.6411*B2</f>
        <v>409426.64110000001</v>
      </c>
      <c r="F1169" s="13">
        <f>D1169*E1169</f>
        <v>3398241.1211300003</v>
      </c>
      <c r="G1169" s="14">
        <f>F1169/A1</f>
        <v>4.3567839422193069E-5</v>
      </c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8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9"/>
    </row>
    <row r="1170" spans="1:117" x14ac:dyDescent="0.3">
      <c r="A1170" s="12"/>
      <c r="B1170" s="13"/>
      <c r="C1170" s="13"/>
      <c r="D1170" s="13"/>
      <c r="E1170" s="13"/>
      <c r="F1170" s="13"/>
      <c r="G1170" s="14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20">
        <f>+$D1169*CV1168</f>
        <v>8.3000000000000007</v>
      </c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21">
        <f>SUM(H1170:DL1170)</f>
        <v>8.3000000000000007</v>
      </c>
    </row>
    <row r="1171" spans="1:117" x14ac:dyDescent="0.3">
      <c r="A1171" s="12"/>
      <c r="B1171" s="13"/>
      <c r="C1171" s="13"/>
      <c r="D1171" s="13"/>
      <c r="E1171" s="13"/>
      <c r="F1171" s="13"/>
      <c r="G1171" s="14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5">
        <v>1</v>
      </c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6">
        <f>SUM(H1171:DL1171)</f>
        <v>1</v>
      </c>
    </row>
    <row r="1172" spans="1:117" x14ac:dyDescent="0.3">
      <c r="A1172" s="17" t="s">
        <v>967</v>
      </c>
      <c r="B1172" s="13" t="s">
        <v>968</v>
      </c>
      <c r="C1172" s="13" t="s">
        <v>135</v>
      </c>
      <c r="D1172" s="13">
        <v>12.83</v>
      </c>
      <c r="E1172" s="13">
        <f>191033.3609*B2</f>
        <v>191033.3609</v>
      </c>
      <c r="F1172" s="13">
        <f>D1172*E1172</f>
        <v>2450958.0203470001</v>
      </c>
      <c r="G1172" s="14">
        <f>F1172/A1</f>
        <v>3.1423004329223795E-5</v>
      </c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8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9"/>
    </row>
    <row r="1173" spans="1:117" x14ac:dyDescent="0.3">
      <c r="A1173" s="12"/>
      <c r="B1173" s="13"/>
      <c r="C1173" s="13"/>
      <c r="D1173" s="13"/>
      <c r="E1173" s="13"/>
      <c r="F1173" s="13"/>
      <c r="G1173" s="14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20">
        <f>+$D1172*CV1171</f>
        <v>12.83</v>
      </c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21">
        <f>SUM(H1173:DL1173)</f>
        <v>12.83</v>
      </c>
    </row>
    <row r="1174" spans="1:117" x14ac:dyDescent="0.3">
      <c r="A1174" s="12"/>
      <c r="B1174" s="13"/>
      <c r="C1174" s="13"/>
      <c r="D1174" s="13"/>
      <c r="E1174" s="13"/>
      <c r="F1174" s="13"/>
      <c r="G1174" s="14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5">
        <v>0.5</v>
      </c>
      <c r="CX1174" s="15">
        <v>0.5</v>
      </c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6">
        <f>SUM(H1174:DL1174)</f>
        <v>1</v>
      </c>
    </row>
    <row r="1175" spans="1:117" x14ac:dyDescent="0.3">
      <c r="A1175" s="17" t="s">
        <v>969</v>
      </c>
      <c r="B1175" s="13" t="s">
        <v>970</v>
      </c>
      <c r="C1175" s="13" t="s">
        <v>135</v>
      </c>
      <c r="D1175" s="13">
        <v>95.5</v>
      </c>
      <c r="E1175" s="13">
        <f>991360.7965*B2</f>
        <v>991360.79650000005</v>
      </c>
      <c r="F1175" s="13">
        <f>D1175*E1175</f>
        <v>94674956.065750003</v>
      </c>
      <c r="G1175" s="14">
        <f>F1175/A1</f>
        <v>1.213799473359379E-3</v>
      </c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8"/>
      <c r="CX1175" s="18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9"/>
    </row>
    <row r="1176" spans="1:117" x14ac:dyDescent="0.3">
      <c r="A1176" s="12"/>
      <c r="B1176" s="13"/>
      <c r="C1176" s="13"/>
      <c r="D1176" s="13"/>
      <c r="E1176" s="13"/>
      <c r="F1176" s="13"/>
      <c r="G1176" s="14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20">
        <f>+$D1175*CW1174</f>
        <v>47.75</v>
      </c>
      <c r="CX1176" s="20">
        <f>+$D1175*CX1174</f>
        <v>47.75</v>
      </c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21">
        <f>SUM(H1176:DL1176)</f>
        <v>95.5</v>
      </c>
    </row>
    <row r="1177" spans="1:117" x14ac:dyDescent="0.3">
      <c r="A1177" s="12"/>
      <c r="B1177" s="13"/>
      <c r="C1177" s="13"/>
      <c r="D1177" s="13"/>
      <c r="E1177" s="13"/>
      <c r="F1177" s="13"/>
      <c r="G1177" s="14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5">
        <v>1</v>
      </c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6">
        <f>SUM(H1177:DL1177)</f>
        <v>1</v>
      </c>
    </row>
    <row r="1178" spans="1:117" x14ac:dyDescent="0.3">
      <c r="A1178" s="17" t="s">
        <v>971</v>
      </c>
      <c r="B1178" s="13" t="s">
        <v>972</v>
      </c>
      <c r="C1178" s="13" t="s">
        <v>135</v>
      </c>
      <c r="D1178" s="13">
        <v>65</v>
      </c>
      <c r="E1178" s="13">
        <f>52178.9856*B2</f>
        <v>52178.9856</v>
      </c>
      <c r="F1178" s="13">
        <f>D1178*E1178</f>
        <v>3391634.0639999998</v>
      </c>
      <c r="G1178" s="14">
        <f>F1178/A1</f>
        <v>4.3483132306413896E-5</v>
      </c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8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9"/>
    </row>
    <row r="1179" spans="1:117" x14ac:dyDescent="0.3">
      <c r="A1179" s="12"/>
      <c r="B1179" s="13"/>
      <c r="C1179" s="13"/>
      <c r="D1179" s="13"/>
      <c r="E1179" s="13"/>
      <c r="F1179" s="13"/>
      <c r="G1179" s="14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20">
        <f>+$D1178*CX1177</f>
        <v>65</v>
      </c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21">
        <f>SUM(H1179:DL1179)</f>
        <v>65</v>
      </c>
    </row>
    <row r="1180" spans="1:117" x14ac:dyDescent="0.3">
      <c r="A1180" s="12"/>
      <c r="B1180" s="13"/>
      <c r="C1180" s="13"/>
      <c r="D1180" s="13"/>
      <c r="E1180" s="13"/>
      <c r="F1180" s="13"/>
      <c r="G1180" s="14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5">
        <v>1</v>
      </c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6">
        <f>SUM(H1180:DL1180)</f>
        <v>1</v>
      </c>
    </row>
    <row r="1181" spans="1:117" x14ac:dyDescent="0.3">
      <c r="A1181" s="17" t="s">
        <v>973</v>
      </c>
      <c r="B1181" s="13" t="s">
        <v>974</v>
      </c>
      <c r="C1181" s="13" t="s">
        <v>277</v>
      </c>
      <c r="D1181" s="13">
        <v>430</v>
      </c>
      <c r="E1181" s="13">
        <f>23247.0459*B2</f>
        <v>23247.045900000001</v>
      </c>
      <c r="F1181" s="13">
        <f>D1181*E1181</f>
        <v>9996229.7369999997</v>
      </c>
      <c r="G1181" s="14">
        <f>F1181/A1</f>
        <v>1.2815869047695707E-4</v>
      </c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8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9"/>
    </row>
    <row r="1182" spans="1:117" x14ac:dyDescent="0.3">
      <c r="A1182" s="12"/>
      <c r="B1182" s="13"/>
      <c r="C1182" s="13"/>
      <c r="D1182" s="13"/>
      <c r="E1182" s="13"/>
      <c r="F1182" s="13"/>
      <c r="G1182" s="14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20">
        <f>+$D1181*CX1180</f>
        <v>430</v>
      </c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21">
        <f>SUM(H1182:DL1182)</f>
        <v>430</v>
      </c>
    </row>
    <row r="1183" spans="1:117" x14ac:dyDescent="0.3">
      <c r="A1183" s="12"/>
      <c r="B1183" s="13"/>
      <c r="C1183" s="13"/>
      <c r="D1183" s="13"/>
      <c r="E1183" s="13"/>
      <c r="F1183" s="13"/>
      <c r="G1183" s="14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5">
        <v>0.66666700000000001</v>
      </c>
      <c r="CY1183" s="15">
        <v>0.33333299999999999</v>
      </c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6">
        <f>SUM(H1183:DL1183)</f>
        <v>1</v>
      </c>
    </row>
    <row r="1184" spans="1:117" x14ac:dyDescent="0.3">
      <c r="A1184" s="17" t="s">
        <v>975</v>
      </c>
      <c r="B1184" s="13" t="s">
        <v>976</v>
      </c>
      <c r="C1184" s="13" t="s">
        <v>277</v>
      </c>
      <c r="D1184" s="13">
        <v>390</v>
      </c>
      <c r="E1184" s="13">
        <f>16579.7289*B2</f>
        <v>16579.728899999998</v>
      </c>
      <c r="F1184" s="13">
        <f>D1184*E1184</f>
        <v>6466094.2709999997</v>
      </c>
      <c r="G1184" s="14">
        <f>F1184/A1</f>
        <v>8.2899872859526133E-5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8"/>
      <c r="CY1184" s="18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9"/>
    </row>
    <row r="1185" spans="1:117" x14ac:dyDescent="0.3">
      <c r="A1185" s="12"/>
      <c r="B1185" s="13"/>
      <c r="C1185" s="13"/>
      <c r="D1185" s="13"/>
      <c r="E1185" s="13"/>
      <c r="F1185" s="13"/>
      <c r="G1185" s="14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20">
        <f>+$D1184*CX1183</f>
        <v>260.00013000000001</v>
      </c>
      <c r="CY1185" s="20">
        <f>+$D1184*CY1183</f>
        <v>129.99986999999999</v>
      </c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21">
        <f>SUM(H1185:DL1185)</f>
        <v>390</v>
      </c>
    </row>
    <row r="1186" spans="1:117" x14ac:dyDescent="0.3">
      <c r="A1186" s="12"/>
      <c r="B1186" s="13"/>
      <c r="C1186" s="13"/>
      <c r="D1186" s="13"/>
      <c r="E1186" s="13"/>
      <c r="F1186" s="13"/>
      <c r="G1186" s="14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5">
        <v>1</v>
      </c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6">
        <f>SUM(H1186:DL1186)</f>
        <v>1</v>
      </c>
    </row>
    <row r="1187" spans="1:117" x14ac:dyDescent="0.3">
      <c r="A1187" s="17" t="s">
        <v>977</v>
      </c>
      <c r="B1187" s="13" t="s">
        <v>978</v>
      </c>
      <c r="C1187" s="13" t="s">
        <v>277</v>
      </c>
      <c r="D1187" s="13">
        <v>219</v>
      </c>
      <c r="E1187" s="13">
        <f>253362.9598*B2</f>
        <v>253362.95980000001</v>
      </c>
      <c r="F1187" s="13">
        <f>D1187*E1187</f>
        <v>55486488.196200006</v>
      </c>
      <c r="G1187" s="14">
        <f>F1187/A1</f>
        <v>7.1137577401499932E-4</v>
      </c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8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9"/>
    </row>
    <row r="1188" spans="1:117" x14ac:dyDescent="0.3">
      <c r="A1188" s="12"/>
      <c r="B1188" s="13"/>
      <c r="C1188" s="13"/>
      <c r="D1188" s="13"/>
      <c r="E1188" s="13"/>
      <c r="F1188" s="13"/>
      <c r="G1188" s="14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20">
        <f>+$D1187*CY1186</f>
        <v>219</v>
      </c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21">
        <f>SUM(H1188:DL1188)</f>
        <v>219</v>
      </c>
    </row>
    <row r="1189" spans="1:117" x14ac:dyDescent="0.3">
      <c r="A1189" s="12"/>
      <c r="B1189" s="13"/>
      <c r="C1189" s="13"/>
      <c r="D1189" s="13"/>
      <c r="E1189" s="13"/>
      <c r="F1189" s="13"/>
      <c r="G1189" s="14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5">
        <v>1</v>
      </c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6">
        <f>SUM(H1189:DL1189)</f>
        <v>1</v>
      </c>
    </row>
    <row r="1190" spans="1:117" x14ac:dyDescent="0.3">
      <c r="A1190" s="17" t="s">
        <v>979</v>
      </c>
      <c r="B1190" s="13" t="s">
        <v>980</v>
      </c>
      <c r="C1190" s="13" t="s">
        <v>135</v>
      </c>
      <c r="D1190" s="13">
        <v>114</v>
      </c>
      <c r="E1190" s="13">
        <f>65271.7598*B2</f>
        <v>65271.7598</v>
      </c>
      <c r="F1190" s="13">
        <f>D1190*E1190</f>
        <v>7440980.6172000002</v>
      </c>
      <c r="G1190" s="14">
        <f>F1190/A1</f>
        <v>9.5398600958021556E-5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8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9"/>
    </row>
    <row r="1191" spans="1:117" x14ac:dyDescent="0.3">
      <c r="A1191" s="12"/>
      <c r="B1191" s="13"/>
      <c r="C1191" s="13"/>
      <c r="D1191" s="13"/>
      <c r="E1191" s="13"/>
      <c r="F1191" s="13"/>
      <c r="G1191" s="14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20">
        <f>+$D1190*CX1189</f>
        <v>114</v>
      </c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21">
        <f>SUM(H1191:DL1191)</f>
        <v>114</v>
      </c>
    </row>
    <row r="1192" spans="1:117" x14ac:dyDescent="0.3">
      <c r="A1192" s="12"/>
      <c r="B1192" s="13"/>
      <c r="C1192" s="13"/>
      <c r="D1192" s="13"/>
      <c r="E1192" s="13"/>
      <c r="F1192" s="13"/>
      <c r="G1192" s="14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5">
        <v>1</v>
      </c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6">
        <f>SUM(H1192:DL1192)</f>
        <v>1</v>
      </c>
    </row>
    <row r="1193" spans="1:117" x14ac:dyDescent="0.3">
      <c r="A1193" s="17" t="s">
        <v>981</v>
      </c>
      <c r="B1193" s="13" t="s">
        <v>982</v>
      </c>
      <c r="C1193" s="13" t="s">
        <v>135</v>
      </c>
      <c r="D1193" s="13">
        <v>14</v>
      </c>
      <c r="E1193" s="13">
        <f>251692.5306*B2</f>
        <v>251692.5306</v>
      </c>
      <c r="F1193" s="13">
        <f>D1193*E1193</f>
        <v>3523695.4284000001</v>
      </c>
      <c r="G1193" s="14">
        <f>F1193/A1</f>
        <v>4.5176251809405991E-5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8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9"/>
    </row>
    <row r="1194" spans="1:117" x14ac:dyDescent="0.3">
      <c r="A1194" s="12"/>
      <c r="B1194" s="13"/>
      <c r="C1194" s="13"/>
      <c r="D1194" s="13"/>
      <c r="E1194" s="13"/>
      <c r="F1194" s="13"/>
      <c r="G1194" s="14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20">
        <f>+$D1193*CX1192</f>
        <v>14</v>
      </c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21">
        <f>SUM(H1194:DL1194)</f>
        <v>14</v>
      </c>
    </row>
    <row r="1195" spans="1:117" x14ac:dyDescent="0.3">
      <c r="A1195" s="12"/>
      <c r="B1195" s="13"/>
      <c r="C1195" s="13"/>
      <c r="D1195" s="13"/>
      <c r="E1195" s="13"/>
      <c r="F1195" s="13"/>
      <c r="G1195" s="14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5">
        <v>1</v>
      </c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6">
        <f>SUM(H1195:DL1195)</f>
        <v>1</v>
      </c>
    </row>
    <row r="1196" spans="1:117" x14ac:dyDescent="0.3">
      <c r="A1196" s="17" t="s">
        <v>983</v>
      </c>
      <c r="B1196" s="13" t="s">
        <v>984</v>
      </c>
      <c r="C1196" s="13" t="s">
        <v>277</v>
      </c>
      <c r="D1196" s="13">
        <v>90</v>
      </c>
      <c r="E1196" s="13">
        <f>55428.9305*B2</f>
        <v>55428.930500000002</v>
      </c>
      <c r="F1196" s="13">
        <f>D1196*E1196</f>
        <v>4988603.7450000001</v>
      </c>
      <c r="G1196" s="14">
        <f>F1196/A1</f>
        <v>6.3957405950887649E-5</v>
      </c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8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9"/>
    </row>
    <row r="1197" spans="1:117" x14ac:dyDescent="0.3">
      <c r="A1197" s="12"/>
      <c r="B1197" s="13"/>
      <c r="C1197" s="13"/>
      <c r="D1197" s="13"/>
      <c r="E1197" s="13"/>
      <c r="F1197" s="13"/>
      <c r="G1197" s="14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20">
        <f>+$D1196*CX1195</f>
        <v>90</v>
      </c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21">
        <f>SUM(H1197:DL1197)</f>
        <v>90</v>
      </c>
    </row>
    <row r="1198" spans="1:117" x14ac:dyDescent="0.3">
      <c r="A1198" s="12"/>
      <c r="B1198" s="13"/>
      <c r="C1198" s="13"/>
      <c r="D1198" s="13"/>
      <c r="E1198" s="13"/>
      <c r="F1198" s="13"/>
      <c r="G1198" s="14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5">
        <v>1</v>
      </c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6">
        <f>SUM(H1198:DL1198)</f>
        <v>1</v>
      </c>
    </row>
    <row r="1199" spans="1:117" x14ac:dyDescent="0.3">
      <c r="A1199" s="17" t="s">
        <v>985</v>
      </c>
      <c r="B1199" s="13" t="s">
        <v>986</v>
      </c>
      <c r="C1199" s="13" t="s">
        <v>277</v>
      </c>
      <c r="D1199" s="13">
        <v>20</v>
      </c>
      <c r="E1199" s="13">
        <f>40199.5939*B2</f>
        <v>40199.5939</v>
      </c>
      <c r="F1199" s="13">
        <f>D1199*E1199</f>
        <v>803991.87800000003</v>
      </c>
      <c r="G1199" s="14">
        <f>F1199/A1</f>
        <v>1.0307740913276835E-5</v>
      </c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8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9"/>
    </row>
    <row r="1200" spans="1:117" x14ac:dyDescent="0.3">
      <c r="A1200" s="12"/>
      <c r="B1200" s="13"/>
      <c r="C1200" s="13"/>
      <c r="D1200" s="13"/>
      <c r="E1200" s="13"/>
      <c r="F1200" s="13"/>
      <c r="G1200" s="14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20">
        <f>+$D1199*CY1198</f>
        <v>20</v>
      </c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21">
        <f>SUM(H1200:DL1200)</f>
        <v>20</v>
      </c>
    </row>
    <row r="1201" spans="1:117" x14ac:dyDescent="0.3">
      <c r="A1201" s="12"/>
      <c r="B1201" s="13"/>
      <c r="C1201" s="13"/>
      <c r="D1201" s="13"/>
      <c r="E1201" s="13"/>
      <c r="F1201" s="13"/>
      <c r="G1201" s="14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5">
        <v>1</v>
      </c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6">
        <f>SUM(H1201:DL1201)</f>
        <v>1</v>
      </c>
    </row>
    <row r="1202" spans="1:117" x14ac:dyDescent="0.3">
      <c r="A1202" s="17" t="s">
        <v>987</v>
      </c>
      <c r="B1202" s="13" t="s">
        <v>988</v>
      </c>
      <c r="C1202" s="13" t="s">
        <v>277</v>
      </c>
      <c r="D1202" s="13">
        <v>19</v>
      </c>
      <c r="E1202" s="13">
        <f>62909.238*B2</f>
        <v>62909.237999999998</v>
      </c>
      <c r="F1202" s="13">
        <f>D1202*E1202</f>
        <v>1195275.5219999999</v>
      </c>
      <c r="G1202" s="14">
        <f>F1202/A1</f>
        <v>1.5324272219523247E-5</v>
      </c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8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9"/>
    </row>
    <row r="1203" spans="1:117" x14ac:dyDescent="0.3">
      <c r="A1203" s="12"/>
      <c r="B1203" s="13"/>
      <c r="C1203" s="13"/>
      <c r="D1203" s="13"/>
      <c r="E1203" s="13"/>
      <c r="F1203" s="13"/>
      <c r="G1203" s="14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20">
        <f>+$D1202*CY1201</f>
        <v>19</v>
      </c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21">
        <f>SUM(H1203:DL1203)</f>
        <v>19</v>
      </c>
    </row>
    <row r="1204" spans="1:117" x14ac:dyDescent="0.3">
      <c r="A1204" s="12"/>
      <c r="B1204" s="13"/>
      <c r="C1204" s="13"/>
      <c r="D1204" s="13"/>
      <c r="E1204" s="13"/>
      <c r="F1204" s="13"/>
      <c r="G1204" s="14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5">
        <v>1</v>
      </c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6">
        <f>SUM(H1204:DL1204)</f>
        <v>1</v>
      </c>
    </row>
    <row r="1205" spans="1:117" x14ac:dyDescent="0.3">
      <c r="A1205" s="17" t="s">
        <v>989</v>
      </c>
      <c r="B1205" s="13" t="s">
        <v>990</v>
      </c>
      <c r="C1205" s="13" t="s">
        <v>126</v>
      </c>
      <c r="D1205" s="13">
        <v>20</v>
      </c>
      <c r="E1205" s="13">
        <f>11097.3177*B2</f>
        <v>11097.3177</v>
      </c>
      <c r="F1205" s="13">
        <f>D1205*E1205</f>
        <v>221946.35399999999</v>
      </c>
      <c r="G1205" s="14">
        <f>F1205/A1</f>
        <v>2.8455082399208307E-6</v>
      </c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8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9"/>
    </row>
    <row r="1206" spans="1:117" x14ac:dyDescent="0.3">
      <c r="A1206" s="12"/>
      <c r="B1206" s="13"/>
      <c r="C1206" s="13"/>
      <c r="D1206" s="13"/>
      <c r="E1206" s="13"/>
      <c r="F1206" s="13"/>
      <c r="G1206" s="14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20">
        <f>+$D1205*CY1204</f>
        <v>20</v>
      </c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21">
        <f>SUM(H1206:DL1206)</f>
        <v>20</v>
      </c>
    </row>
    <row r="1207" spans="1:117" x14ac:dyDescent="0.3">
      <c r="A1207" s="12"/>
      <c r="B1207" s="13"/>
      <c r="C1207" s="13"/>
      <c r="D1207" s="13"/>
      <c r="E1207" s="13"/>
      <c r="F1207" s="13"/>
      <c r="G1207" s="14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5">
        <v>1</v>
      </c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6">
        <f>SUM(H1207:DL1207)</f>
        <v>1</v>
      </c>
    </row>
    <row r="1208" spans="1:117" x14ac:dyDescent="0.3">
      <c r="A1208" s="17" t="s">
        <v>991</v>
      </c>
      <c r="B1208" s="13" t="s">
        <v>992</v>
      </c>
      <c r="C1208" s="13" t="s">
        <v>277</v>
      </c>
      <c r="D1208" s="13">
        <v>174</v>
      </c>
      <c r="E1208" s="13">
        <f>24267.8624*B2</f>
        <v>24267.862400000002</v>
      </c>
      <c r="F1208" s="13">
        <f>D1208*E1208</f>
        <v>4222608.0575999999</v>
      </c>
      <c r="G1208" s="14">
        <f>F1208/A1</f>
        <v>5.4136802904439215E-5</v>
      </c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8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9"/>
    </row>
    <row r="1209" spans="1:117" x14ac:dyDescent="0.3">
      <c r="A1209" s="12"/>
      <c r="B1209" s="13"/>
      <c r="C1209" s="13"/>
      <c r="D1209" s="13"/>
      <c r="E1209" s="13"/>
      <c r="F1209" s="13"/>
      <c r="G1209" s="14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20">
        <f>+$D1208*CY1207</f>
        <v>174</v>
      </c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21">
        <f>SUM(H1209:DL1209)</f>
        <v>174</v>
      </c>
    </row>
    <row r="1210" spans="1:117" x14ac:dyDescent="0.3">
      <c r="A1210" s="12"/>
      <c r="B1210" s="13"/>
      <c r="C1210" s="13"/>
      <c r="D1210" s="13"/>
      <c r="E1210" s="13"/>
      <c r="F1210" s="13"/>
      <c r="G1210" s="14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5">
        <v>1</v>
      </c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6">
        <f>SUM(H1210:DL1210)</f>
        <v>1</v>
      </c>
    </row>
    <row r="1211" spans="1:117" x14ac:dyDescent="0.3">
      <c r="A1211" s="17" t="s">
        <v>993</v>
      </c>
      <c r="B1211" s="13" t="s">
        <v>994</v>
      </c>
      <c r="C1211" s="13" t="s">
        <v>277</v>
      </c>
      <c r="D1211" s="13">
        <v>160</v>
      </c>
      <c r="E1211" s="13">
        <f>58015.6696*B2</f>
        <v>58015.669600000001</v>
      </c>
      <c r="F1211" s="13">
        <f>D1211*E1211</f>
        <v>9282507.1359999999</v>
      </c>
      <c r="G1211" s="14">
        <f>F1211/A1</f>
        <v>1.1900826513515024E-4</v>
      </c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8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9"/>
    </row>
    <row r="1212" spans="1:117" x14ac:dyDescent="0.3">
      <c r="A1212" s="12"/>
      <c r="B1212" s="13"/>
      <c r="C1212" s="13"/>
      <c r="D1212" s="13"/>
      <c r="E1212" s="13"/>
      <c r="F1212" s="13"/>
      <c r="G1212" s="14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20">
        <f>+$D1211*CZ1210</f>
        <v>160</v>
      </c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21">
        <f>SUM(H1212:DL1212)</f>
        <v>160</v>
      </c>
    </row>
    <row r="1213" spans="1:117" x14ac:dyDescent="0.3">
      <c r="A1213" s="12"/>
      <c r="B1213" s="13"/>
      <c r="C1213" s="13"/>
      <c r="D1213" s="13"/>
      <c r="E1213" s="13"/>
      <c r="F1213" s="13"/>
      <c r="G1213" s="14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5">
        <v>0.70796499999999996</v>
      </c>
      <c r="DA1213" s="15">
        <v>0.29203499999999999</v>
      </c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6">
        <f>SUM(H1213:DL1213)</f>
        <v>1</v>
      </c>
    </row>
    <row r="1214" spans="1:117" x14ac:dyDescent="0.3">
      <c r="A1214" s="17" t="s">
        <v>995</v>
      </c>
      <c r="B1214" s="13" t="s">
        <v>996</v>
      </c>
      <c r="C1214" s="13" t="s">
        <v>277</v>
      </c>
      <c r="D1214" s="13">
        <v>565</v>
      </c>
      <c r="E1214" s="13">
        <f>13781.4033*B2</f>
        <v>13781.4033</v>
      </c>
      <c r="F1214" s="13">
        <f>D1214*E1214</f>
        <v>7786492.8645000001</v>
      </c>
      <c r="G1214" s="14">
        <f>F1214/A1</f>
        <v>9.982831079090177E-5</v>
      </c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8"/>
      <c r="DA1214" s="18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9"/>
    </row>
    <row r="1215" spans="1:117" x14ac:dyDescent="0.3">
      <c r="A1215" s="12"/>
      <c r="B1215" s="13"/>
      <c r="C1215" s="13"/>
      <c r="D1215" s="13"/>
      <c r="E1215" s="13"/>
      <c r="F1215" s="13"/>
      <c r="G1215" s="14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20">
        <f>+$D1214*CZ1213</f>
        <v>400.000225</v>
      </c>
      <c r="DA1215" s="20">
        <f>+$D1214*DA1213</f>
        <v>164.999775</v>
      </c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21">
        <f>SUM(H1215:DL1215)</f>
        <v>565</v>
      </c>
    </row>
    <row r="1216" spans="1:117" x14ac:dyDescent="0.3">
      <c r="A1216" s="12"/>
      <c r="B1216" s="13"/>
      <c r="C1216" s="13"/>
      <c r="D1216" s="13"/>
      <c r="E1216" s="13"/>
      <c r="F1216" s="13"/>
      <c r="G1216" s="14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5">
        <v>1</v>
      </c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6">
        <f>SUM(H1216:DL1216)</f>
        <v>1</v>
      </c>
    </row>
    <row r="1217" spans="1:117" x14ac:dyDescent="0.3">
      <c r="A1217" s="17" t="s">
        <v>997</v>
      </c>
      <c r="B1217" s="13" t="s">
        <v>998</v>
      </c>
      <c r="C1217" s="13" t="s">
        <v>319</v>
      </c>
      <c r="D1217" s="13">
        <v>1</v>
      </c>
      <c r="E1217" s="13">
        <f>3207776.9633*B2</f>
        <v>3207776.9632999999</v>
      </c>
      <c r="F1217" s="13">
        <f>D1217*E1217</f>
        <v>3207776.9632999999</v>
      </c>
      <c r="G1217" s="14">
        <f>F1217/A1</f>
        <v>4.1125955062538993E-5</v>
      </c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8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9"/>
    </row>
    <row r="1218" spans="1:117" x14ac:dyDescent="0.3">
      <c r="A1218" s="12"/>
      <c r="B1218" s="13"/>
      <c r="C1218" s="13"/>
      <c r="D1218" s="13"/>
      <c r="E1218" s="13"/>
      <c r="F1218" s="13"/>
      <c r="G1218" s="14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20">
        <f>+$D1217*DA1216</f>
        <v>1</v>
      </c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21">
        <f>SUM(H1218:DL1218)</f>
        <v>1</v>
      </c>
    </row>
    <row r="1219" spans="1:117" x14ac:dyDescent="0.3">
      <c r="A1219" s="12"/>
      <c r="B1219" s="13"/>
      <c r="C1219" s="13"/>
      <c r="D1219" s="13"/>
      <c r="E1219" s="13"/>
      <c r="F1219" s="13"/>
      <c r="G1219" s="14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5">
        <v>1</v>
      </c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6">
        <f>SUM(H1219:DL1219)</f>
        <v>1</v>
      </c>
    </row>
    <row r="1220" spans="1:117" x14ac:dyDescent="0.3">
      <c r="A1220" s="17" t="s">
        <v>999</v>
      </c>
      <c r="B1220" s="13" t="s">
        <v>1000</v>
      </c>
      <c r="C1220" s="13" t="s">
        <v>319</v>
      </c>
      <c r="D1220" s="13">
        <v>1</v>
      </c>
      <c r="E1220" s="13">
        <f>1293542.6264*B2</f>
        <v>1293542.6264</v>
      </c>
      <c r="F1220" s="13">
        <f>D1220*E1220</f>
        <v>1293542.6264</v>
      </c>
      <c r="G1220" s="14">
        <f>F1220/A1</f>
        <v>1.6584125559053036E-5</v>
      </c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8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9"/>
    </row>
    <row r="1221" spans="1:117" x14ac:dyDescent="0.3">
      <c r="A1221" s="12"/>
      <c r="B1221" s="13"/>
      <c r="C1221" s="13"/>
      <c r="D1221" s="13"/>
      <c r="E1221" s="13"/>
      <c r="F1221" s="13"/>
      <c r="G1221" s="14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20">
        <f>+$D1220*DA1219</f>
        <v>1</v>
      </c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21">
        <f>SUM(H1221:DL1221)</f>
        <v>1</v>
      </c>
    </row>
    <row r="1222" spans="1:117" x14ac:dyDescent="0.3">
      <c r="A1222" s="12"/>
      <c r="B1222" s="13"/>
      <c r="C1222" s="13"/>
      <c r="D1222" s="13"/>
      <c r="E1222" s="13"/>
      <c r="F1222" s="13"/>
      <c r="G1222" s="14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5">
        <v>0.5</v>
      </c>
      <c r="CY1222" s="13"/>
      <c r="CZ1222" s="15">
        <v>0.3</v>
      </c>
      <c r="DA1222" s="15">
        <v>0.2</v>
      </c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6">
        <f>SUM(H1222:DL1222)</f>
        <v>1</v>
      </c>
    </row>
    <row r="1223" spans="1:117" x14ac:dyDescent="0.3">
      <c r="A1223" s="17" t="s">
        <v>1001</v>
      </c>
      <c r="B1223" s="13" t="s">
        <v>1002</v>
      </c>
      <c r="C1223" s="13" t="s">
        <v>319</v>
      </c>
      <c r="D1223" s="13">
        <v>1</v>
      </c>
      <c r="E1223" s="13">
        <f>21349416.528*B2</f>
        <v>21349416.528000001</v>
      </c>
      <c r="F1223" s="13">
        <f>D1223*E1223</f>
        <v>21349416.528000001</v>
      </c>
      <c r="G1223" s="14">
        <f>F1223/A1</f>
        <v>2.7371452404181411E-4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8"/>
      <c r="CY1223" s="13"/>
      <c r="CZ1223" s="18"/>
      <c r="DA1223" s="18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9"/>
    </row>
    <row r="1224" spans="1:117" x14ac:dyDescent="0.3">
      <c r="A1224" s="12"/>
      <c r="B1224" s="13"/>
      <c r="C1224" s="13"/>
      <c r="D1224" s="13"/>
      <c r="E1224" s="13"/>
      <c r="F1224" s="13"/>
      <c r="G1224" s="14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20">
        <f>+$D1223*CX1222</f>
        <v>0.5</v>
      </c>
      <c r="CY1224" s="13"/>
      <c r="CZ1224" s="20">
        <f>+$D1223*CZ1222</f>
        <v>0.3</v>
      </c>
      <c r="DA1224" s="20">
        <f>+$D1223*DA1222</f>
        <v>0.2</v>
      </c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21">
        <f>SUM(H1224:DL1224)</f>
        <v>1</v>
      </c>
    </row>
    <row r="1225" spans="1:117" x14ac:dyDescent="0.3">
      <c r="A1225" s="12"/>
      <c r="B1225" s="13"/>
      <c r="C1225" s="13"/>
      <c r="D1225" s="13"/>
      <c r="E1225" s="13"/>
      <c r="F1225" s="13"/>
      <c r="G1225" s="14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5">
        <v>1</v>
      </c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6">
        <f>SUM(H1225:DL1225)</f>
        <v>1</v>
      </c>
    </row>
    <row r="1226" spans="1:117" x14ac:dyDescent="0.3">
      <c r="A1226" s="17" t="s">
        <v>1003</v>
      </c>
      <c r="B1226" s="13" t="s">
        <v>1004</v>
      </c>
      <c r="C1226" s="13" t="s">
        <v>126</v>
      </c>
      <c r="D1226" s="13">
        <v>50</v>
      </c>
      <c r="E1226" s="13">
        <f>104636.9103*B2</f>
        <v>104636.9103</v>
      </c>
      <c r="F1226" s="13">
        <f>D1226*E1226</f>
        <v>5231845.5150000006</v>
      </c>
      <c r="G1226" s="14">
        <f>F1226/A1</f>
        <v>6.7075936390130315E-5</v>
      </c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8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9"/>
    </row>
    <row r="1227" spans="1:117" x14ac:dyDescent="0.3">
      <c r="A1227" s="12"/>
      <c r="B1227" s="13"/>
      <c r="C1227" s="13"/>
      <c r="D1227" s="13"/>
      <c r="E1227" s="13"/>
      <c r="F1227" s="13"/>
      <c r="G1227" s="14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20">
        <f>+$D1226*CY1225</f>
        <v>50</v>
      </c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21">
        <f>SUM(H1227:DL1227)</f>
        <v>50</v>
      </c>
    </row>
    <row r="1228" spans="1:117" x14ac:dyDescent="0.3">
      <c r="A1228" s="12"/>
      <c r="B1228" s="13"/>
      <c r="C1228" s="13"/>
      <c r="D1228" s="13"/>
      <c r="E1228" s="13"/>
      <c r="F1228" s="13"/>
      <c r="G1228" s="14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5">
        <v>1</v>
      </c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6">
        <f>SUM(H1228:DL1228)</f>
        <v>1</v>
      </c>
    </row>
    <row r="1229" spans="1:117" x14ac:dyDescent="0.3">
      <c r="A1229" s="17" t="s">
        <v>1005</v>
      </c>
      <c r="B1229" s="13" t="s">
        <v>1006</v>
      </c>
      <c r="C1229" s="13" t="s">
        <v>319</v>
      </c>
      <c r="D1229" s="13">
        <v>1</v>
      </c>
      <c r="E1229" s="13">
        <f>1371348.7584*B2</f>
        <v>1371348.7583999999</v>
      </c>
      <c r="F1229" s="13">
        <f>D1229*E1229</f>
        <v>1371348.7583999999</v>
      </c>
      <c r="G1229" s="14">
        <f>F1229/A1</f>
        <v>1.7581654852651468E-5</v>
      </c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8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9"/>
    </row>
    <row r="1230" spans="1:117" x14ac:dyDescent="0.3">
      <c r="A1230" s="12"/>
      <c r="B1230" s="13"/>
      <c r="C1230" s="13"/>
      <c r="D1230" s="13"/>
      <c r="E1230" s="13"/>
      <c r="F1230" s="13"/>
      <c r="G1230" s="14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20">
        <f>+$D1229*CY1228</f>
        <v>1</v>
      </c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21">
        <f>SUM(H1230:DL1230)</f>
        <v>1</v>
      </c>
    </row>
    <row r="1231" spans="1:117" x14ac:dyDescent="0.3">
      <c r="A1231" s="12"/>
      <c r="B1231" s="13"/>
      <c r="C1231" s="13"/>
      <c r="D1231" s="13"/>
      <c r="E1231" s="13"/>
      <c r="F1231" s="13"/>
      <c r="G1231" s="14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5">
        <v>0.52631600000000001</v>
      </c>
      <c r="CZ1231" s="15">
        <v>0.47368399999999999</v>
      </c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6">
        <f>SUM(H1231:DL1231)</f>
        <v>1</v>
      </c>
    </row>
    <row r="1232" spans="1:117" x14ac:dyDescent="0.3">
      <c r="A1232" s="17" t="s">
        <v>1007</v>
      </c>
      <c r="B1232" s="13" t="s">
        <v>1008</v>
      </c>
      <c r="C1232" s="13" t="s">
        <v>135</v>
      </c>
      <c r="D1232" s="13">
        <v>19</v>
      </c>
      <c r="E1232" s="13">
        <f>2166763.169*B2</f>
        <v>2166763.1690000002</v>
      </c>
      <c r="F1232" s="13">
        <f>D1232*E1232</f>
        <v>41168500.211000003</v>
      </c>
      <c r="G1232" s="14">
        <f>F1232/A1</f>
        <v>5.2780910550836524E-4</v>
      </c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8"/>
      <c r="CZ1232" s="18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9"/>
    </row>
    <row r="1233" spans="1:117" x14ac:dyDescent="0.3">
      <c r="A1233" s="12"/>
      <c r="B1233" s="13"/>
      <c r="C1233" s="13"/>
      <c r="D1233" s="13"/>
      <c r="E1233" s="13"/>
      <c r="F1233" s="13"/>
      <c r="G1233" s="14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20">
        <f>+$D1232*CY1231</f>
        <v>10.000004000000001</v>
      </c>
      <c r="CZ1233" s="20">
        <f>+$D1232*CZ1231</f>
        <v>8.9999959999999994</v>
      </c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21">
        <f>SUM(H1233:DL1233)</f>
        <v>19</v>
      </c>
    </row>
    <row r="1234" spans="1:117" x14ac:dyDescent="0.3">
      <c r="A1234" s="12"/>
      <c r="B1234" s="13"/>
      <c r="C1234" s="13"/>
      <c r="D1234" s="13"/>
      <c r="E1234" s="13"/>
      <c r="F1234" s="13"/>
      <c r="G1234" s="14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5">
        <v>1</v>
      </c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6">
        <f>SUM(H1234:DL1234)</f>
        <v>1</v>
      </c>
    </row>
    <row r="1235" spans="1:117" x14ac:dyDescent="0.3">
      <c r="A1235" s="17" t="s">
        <v>1009</v>
      </c>
      <c r="B1235" s="13" t="s">
        <v>1010</v>
      </c>
      <c r="C1235" s="13" t="s">
        <v>135</v>
      </c>
      <c r="D1235" s="13">
        <v>8</v>
      </c>
      <c r="E1235" s="13">
        <f>2166786.3718*B2</f>
        <v>2166786.3717999998</v>
      </c>
      <c r="F1235" s="13">
        <f>D1235*E1235</f>
        <v>17334290.974399999</v>
      </c>
      <c r="G1235" s="14">
        <f>F1235/A1</f>
        <v>2.2223779265524897E-4</v>
      </c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8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9"/>
    </row>
    <row r="1236" spans="1:117" x14ac:dyDescent="0.3">
      <c r="A1236" s="12"/>
      <c r="B1236" s="13"/>
      <c r="C1236" s="13"/>
      <c r="D1236" s="13"/>
      <c r="E1236" s="13"/>
      <c r="F1236" s="13"/>
      <c r="G1236" s="14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20">
        <f>+$D1235*CZ1234</f>
        <v>8</v>
      </c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21">
        <f>SUM(H1236:DL1236)</f>
        <v>8</v>
      </c>
    </row>
    <row r="1237" spans="1:117" x14ac:dyDescent="0.3">
      <c r="A1237" s="12"/>
      <c r="B1237" s="13"/>
      <c r="C1237" s="13"/>
      <c r="D1237" s="13"/>
      <c r="E1237" s="13"/>
      <c r="F1237" s="13"/>
      <c r="G1237" s="14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5">
        <v>1</v>
      </c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6">
        <f>SUM(H1237:DL1237)</f>
        <v>1</v>
      </c>
    </row>
    <row r="1238" spans="1:117" x14ac:dyDescent="0.3">
      <c r="A1238" s="17" t="s">
        <v>1011</v>
      </c>
      <c r="B1238" s="13" t="s">
        <v>1012</v>
      </c>
      <c r="C1238" s="13" t="s">
        <v>277</v>
      </c>
      <c r="D1238" s="13">
        <v>138</v>
      </c>
      <c r="E1238" s="13">
        <f>55901.2588*B2</f>
        <v>55901.258800000003</v>
      </c>
      <c r="F1238" s="13">
        <f>D1238*E1238</f>
        <v>7714373.7144000009</v>
      </c>
      <c r="G1238" s="14">
        <f>F1238/A1</f>
        <v>9.8903692602014408E-5</v>
      </c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8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9"/>
    </row>
    <row r="1239" spans="1:117" x14ac:dyDescent="0.3">
      <c r="A1239" s="12"/>
      <c r="B1239" s="13"/>
      <c r="C1239" s="13"/>
      <c r="D1239" s="13"/>
      <c r="E1239" s="13"/>
      <c r="F1239" s="13"/>
      <c r="G1239" s="14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20">
        <f>+$D1238*DA1237</f>
        <v>138</v>
      </c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21">
        <f>SUM(H1239:DL1239)</f>
        <v>138</v>
      </c>
    </row>
    <row r="1240" spans="1:117" x14ac:dyDescent="0.3">
      <c r="A1240" s="12"/>
      <c r="B1240" s="13"/>
      <c r="C1240" s="13"/>
      <c r="D1240" s="13"/>
      <c r="E1240" s="13"/>
      <c r="F1240" s="13"/>
      <c r="G1240" s="14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5">
        <v>0.5</v>
      </c>
      <c r="CY1240" s="13"/>
      <c r="CZ1240" s="15">
        <v>0.3</v>
      </c>
      <c r="DA1240" s="15">
        <v>0.2</v>
      </c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6">
        <f>SUM(H1240:DL1240)</f>
        <v>1</v>
      </c>
    </row>
    <row r="1241" spans="1:117" x14ac:dyDescent="0.3">
      <c r="A1241" s="17" t="s">
        <v>1013</v>
      </c>
      <c r="B1241" s="13" t="s">
        <v>1014</v>
      </c>
      <c r="C1241" s="13" t="s">
        <v>319</v>
      </c>
      <c r="D1241" s="13">
        <v>1</v>
      </c>
      <c r="E1241" s="13">
        <f>55731255.744*B2</f>
        <v>55731255.744000003</v>
      </c>
      <c r="F1241" s="13">
        <f>D1241*E1241</f>
        <v>55731255.744000003</v>
      </c>
      <c r="G1241" s="14">
        <f>F1241/A1</f>
        <v>7.1451386599793911E-4</v>
      </c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8"/>
      <c r="CY1241" s="13"/>
      <c r="CZ1241" s="18"/>
      <c r="DA1241" s="18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9"/>
    </row>
    <row r="1242" spans="1:117" x14ac:dyDescent="0.3">
      <c r="A1242" s="12"/>
      <c r="B1242" s="13"/>
      <c r="C1242" s="13"/>
      <c r="D1242" s="13"/>
      <c r="E1242" s="13"/>
      <c r="F1242" s="13"/>
      <c r="G1242" s="14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20">
        <f>+$D1241*CX1240</f>
        <v>0.5</v>
      </c>
      <c r="CY1242" s="13"/>
      <c r="CZ1242" s="20">
        <f>+$D1241*CZ1240</f>
        <v>0.3</v>
      </c>
      <c r="DA1242" s="20">
        <f>+$D1241*DA1240</f>
        <v>0.2</v>
      </c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21">
        <f>SUM(H1242:DL1242)</f>
        <v>1</v>
      </c>
    </row>
    <row r="1243" spans="1:117" x14ac:dyDescent="0.3">
      <c r="A1243" s="8" t="s">
        <v>1015</v>
      </c>
      <c r="B1243" s="9" t="s">
        <v>1016</v>
      </c>
      <c r="C1243" s="9"/>
      <c r="D1243" s="9"/>
      <c r="E1243" s="9"/>
      <c r="F1243" s="9"/>
      <c r="G1243" s="10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  <c r="DC1243" s="9"/>
      <c r="DD1243" s="9"/>
      <c r="DE1243" s="9"/>
      <c r="DF1243" s="9"/>
      <c r="DG1243" s="9"/>
      <c r="DH1243" s="9"/>
      <c r="DI1243" s="9"/>
      <c r="DJ1243" s="9"/>
      <c r="DK1243" s="9"/>
      <c r="DL1243" s="9"/>
      <c r="DM1243" s="11"/>
    </row>
    <row r="1244" spans="1:117" x14ac:dyDescent="0.3">
      <c r="A1244" s="12"/>
      <c r="B1244" s="13"/>
      <c r="C1244" s="13"/>
      <c r="D1244" s="13"/>
      <c r="E1244" s="13"/>
      <c r="F1244" s="13"/>
      <c r="G1244" s="14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5">
        <v>1</v>
      </c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6">
        <f>SUM(H1244:DL1244)</f>
        <v>1</v>
      </c>
    </row>
    <row r="1245" spans="1:117" x14ac:dyDescent="0.3">
      <c r="A1245" s="17" t="s">
        <v>1017</v>
      </c>
      <c r="B1245" s="13" t="s">
        <v>1018</v>
      </c>
      <c r="C1245" s="13" t="s">
        <v>135</v>
      </c>
      <c r="D1245" s="13">
        <v>50.81</v>
      </c>
      <c r="E1245" s="13">
        <f>98344.6006*B2</f>
        <v>98344.600600000005</v>
      </c>
      <c r="F1245" s="13">
        <f>D1245*E1245</f>
        <v>4996889.1564860009</v>
      </c>
      <c r="G1245" s="14">
        <f>F1245/A1</f>
        <v>6.4063630749041118E-5</v>
      </c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8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9"/>
    </row>
    <row r="1246" spans="1:117" x14ac:dyDescent="0.3">
      <c r="A1246" s="12"/>
      <c r="B1246" s="13"/>
      <c r="C1246" s="13"/>
      <c r="D1246" s="13"/>
      <c r="E1246" s="13"/>
      <c r="F1246" s="13"/>
      <c r="G1246" s="14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20">
        <f>+$D1245*CN1244</f>
        <v>50.81</v>
      </c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21">
        <f>SUM(H1246:DL1246)</f>
        <v>50.81</v>
      </c>
    </row>
    <row r="1247" spans="1:117" x14ac:dyDescent="0.3">
      <c r="A1247" s="12"/>
      <c r="B1247" s="13"/>
      <c r="C1247" s="13"/>
      <c r="D1247" s="13"/>
      <c r="E1247" s="13"/>
      <c r="F1247" s="13"/>
      <c r="G1247" s="14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5">
        <v>1</v>
      </c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6">
        <f>SUM(H1247:DL1247)</f>
        <v>1</v>
      </c>
    </row>
    <row r="1248" spans="1:117" x14ac:dyDescent="0.3">
      <c r="A1248" s="17" t="s">
        <v>1019</v>
      </c>
      <c r="B1248" s="13" t="s">
        <v>1020</v>
      </c>
      <c r="C1248" s="13" t="s">
        <v>135</v>
      </c>
      <c r="D1248" s="13">
        <v>6.52</v>
      </c>
      <c r="E1248" s="13">
        <f>409405.8047*B2</f>
        <v>409405.80469999998</v>
      </c>
      <c r="F1248" s="13">
        <f>D1248*E1248</f>
        <v>2669325.8466439997</v>
      </c>
      <c r="G1248" s="14">
        <f>F1248/A1</f>
        <v>3.4222633329039276E-5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8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9"/>
    </row>
    <row r="1249" spans="1:117" x14ac:dyDescent="0.3">
      <c r="A1249" s="12"/>
      <c r="B1249" s="13"/>
      <c r="C1249" s="13"/>
      <c r="D1249" s="13"/>
      <c r="E1249" s="13"/>
      <c r="F1249" s="13"/>
      <c r="G1249" s="14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20">
        <f>+$D1248*CN1247</f>
        <v>6.52</v>
      </c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21">
        <f>SUM(H1249:DL1249)</f>
        <v>6.52</v>
      </c>
    </row>
    <row r="1250" spans="1:117" x14ac:dyDescent="0.3">
      <c r="A1250" s="12"/>
      <c r="B1250" s="13"/>
      <c r="C1250" s="13"/>
      <c r="D1250" s="13"/>
      <c r="E1250" s="13"/>
      <c r="F1250" s="13"/>
      <c r="G1250" s="14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5">
        <v>0.48169600000000001</v>
      </c>
      <c r="CP1250" s="15">
        <v>0.51830399999999999</v>
      </c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6">
        <f>SUM(H1250:DL1250)</f>
        <v>1</v>
      </c>
    </row>
    <row r="1251" spans="1:117" x14ac:dyDescent="0.3">
      <c r="A1251" s="17" t="s">
        <v>1021</v>
      </c>
      <c r="B1251" s="13" t="s">
        <v>1022</v>
      </c>
      <c r="C1251" s="13" t="s">
        <v>135</v>
      </c>
      <c r="D1251" s="13">
        <v>62.28</v>
      </c>
      <c r="E1251" s="13">
        <f>813472.8636*B2</f>
        <v>813472.86360000004</v>
      </c>
      <c r="F1251" s="13">
        <f>D1251*E1251</f>
        <v>50663089.945008002</v>
      </c>
      <c r="G1251" s="14">
        <f>F1251/A1</f>
        <v>6.4953641859947142E-4</v>
      </c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8"/>
      <c r="CP1251" s="18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9"/>
    </row>
    <row r="1252" spans="1:117" x14ac:dyDescent="0.3">
      <c r="A1252" s="12"/>
      <c r="B1252" s="13"/>
      <c r="C1252" s="13"/>
      <c r="D1252" s="13"/>
      <c r="E1252" s="13"/>
      <c r="F1252" s="13"/>
      <c r="G1252" s="14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20">
        <f>+$D1251*CO1250</f>
        <v>30.00002688</v>
      </c>
      <c r="CP1252" s="20">
        <f>+$D1251*CP1250</f>
        <v>32.279973120000001</v>
      </c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21">
        <f>SUM(H1252:DL1252)</f>
        <v>62.28</v>
      </c>
    </row>
    <row r="1253" spans="1:117" x14ac:dyDescent="0.3">
      <c r="A1253" s="12"/>
      <c r="B1253" s="13"/>
      <c r="C1253" s="13"/>
      <c r="D1253" s="13"/>
      <c r="E1253" s="13"/>
      <c r="F1253" s="13"/>
      <c r="G1253" s="14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5">
        <v>0.25</v>
      </c>
      <c r="CQ1253" s="15">
        <v>0.5</v>
      </c>
      <c r="CR1253" s="15">
        <v>0.25</v>
      </c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6">
        <f>SUM(H1253:DL1253)</f>
        <v>1</v>
      </c>
    </row>
    <row r="1254" spans="1:117" x14ac:dyDescent="0.3">
      <c r="A1254" s="17" t="s">
        <v>1023</v>
      </c>
      <c r="B1254" s="13" t="s">
        <v>1024</v>
      </c>
      <c r="C1254" s="13" t="s">
        <v>135</v>
      </c>
      <c r="D1254" s="13">
        <v>339.95</v>
      </c>
      <c r="E1254" s="13">
        <f>0*B2</f>
        <v>0</v>
      </c>
      <c r="F1254" s="13">
        <f>D1254*E1254</f>
        <v>0</v>
      </c>
      <c r="G1254" s="14">
        <f>F1254/A1</f>
        <v>0</v>
      </c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8"/>
      <c r="CQ1254" s="18"/>
      <c r="CR1254" s="18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9"/>
    </row>
    <row r="1255" spans="1:117" x14ac:dyDescent="0.3">
      <c r="A1255" s="12"/>
      <c r="B1255" s="13"/>
      <c r="C1255" s="13"/>
      <c r="D1255" s="13"/>
      <c r="E1255" s="13"/>
      <c r="F1255" s="13"/>
      <c r="G1255" s="14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20">
        <f>+$D1254*CP1253</f>
        <v>84.987499999999997</v>
      </c>
      <c r="CQ1255" s="20">
        <f>+$D1254*CQ1253</f>
        <v>169.97499999999999</v>
      </c>
      <c r="CR1255" s="20">
        <f>+$D1254*CR1253</f>
        <v>84.987499999999997</v>
      </c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21">
        <f>SUM(H1255:DL1255)</f>
        <v>339.95</v>
      </c>
    </row>
    <row r="1256" spans="1:117" x14ac:dyDescent="0.3">
      <c r="A1256" s="12"/>
      <c r="B1256" s="13"/>
      <c r="C1256" s="13"/>
      <c r="D1256" s="13"/>
      <c r="E1256" s="13"/>
      <c r="F1256" s="13"/>
      <c r="G1256" s="14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5">
        <v>1</v>
      </c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6">
        <f>SUM(H1256:DL1256)</f>
        <v>1</v>
      </c>
    </row>
    <row r="1257" spans="1:117" x14ac:dyDescent="0.3">
      <c r="A1257" s="17" t="s">
        <v>1025</v>
      </c>
      <c r="B1257" s="13" t="s">
        <v>1026</v>
      </c>
      <c r="C1257" s="13" t="s">
        <v>277</v>
      </c>
      <c r="D1257" s="13">
        <v>118.6</v>
      </c>
      <c r="E1257" s="13">
        <f>0*B2</f>
        <v>0</v>
      </c>
      <c r="F1257" s="13">
        <f>D1257*E1257</f>
        <v>0</v>
      </c>
      <c r="G1257" s="14">
        <f>F1257/A1</f>
        <v>0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8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9"/>
    </row>
    <row r="1258" spans="1:117" x14ac:dyDescent="0.3">
      <c r="A1258" s="12"/>
      <c r="B1258" s="13"/>
      <c r="C1258" s="13"/>
      <c r="D1258" s="13"/>
      <c r="E1258" s="13"/>
      <c r="F1258" s="13"/>
      <c r="G1258" s="14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20">
        <f>+$D1257*CR1256</f>
        <v>118.6</v>
      </c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21">
        <f>SUM(H1258:DL1258)</f>
        <v>118.6</v>
      </c>
    </row>
    <row r="1259" spans="1:117" x14ac:dyDescent="0.3">
      <c r="A1259" s="12"/>
      <c r="B1259" s="13"/>
      <c r="C1259" s="13"/>
      <c r="D1259" s="13"/>
      <c r="E1259" s="13"/>
      <c r="F1259" s="13"/>
      <c r="G1259" s="14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5">
        <v>0.4</v>
      </c>
      <c r="CS1259" s="15">
        <v>0.6</v>
      </c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6">
        <f>SUM(H1259:DL1259)</f>
        <v>1</v>
      </c>
    </row>
    <row r="1260" spans="1:117" x14ac:dyDescent="0.3">
      <c r="A1260" s="17" t="s">
        <v>1027</v>
      </c>
      <c r="B1260" s="13" t="s">
        <v>1028</v>
      </c>
      <c r="C1260" s="13" t="s">
        <v>277</v>
      </c>
      <c r="D1260" s="13">
        <v>870.95</v>
      </c>
      <c r="E1260" s="13">
        <f>0*B2</f>
        <v>0</v>
      </c>
      <c r="F1260" s="13">
        <f>D1260*E1260</f>
        <v>0</v>
      </c>
      <c r="G1260" s="14">
        <f>F1260/A1</f>
        <v>0</v>
      </c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8"/>
      <c r="CS1260" s="18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9"/>
    </row>
    <row r="1261" spans="1:117" x14ac:dyDescent="0.3">
      <c r="A1261" s="12"/>
      <c r="B1261" s="13"/>
      <c r="C1261" s="13"/>
      <c r="D1261" s="13"/>
      <c r="E1261" s="13"/>
      <c r="F1261" s="13"/>
      <c r="G1261" s="14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20">
        <f>+$D1260*CR1259</f>
        <v>348.38000000000005</v>
      </c>
      <c r="CS1261" s="20">
        <f>+$D1260*CS1259</f>
        <v>522.57000000000005</v>
      </c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21">
        <f>SUM(H1261:DL1261)</f>
        <v>870.95</v>
      </c>
    </row>
    <row r="1262" spans="1:117" x14ac:dyDescent="0.3">
      <c r="A1262" s="12"/>
      <c r="B1262" s="13"/>
      <c r="C1262" s="13"/>
      <c r="D1262" s="13"/>
      <c r="E1262" s="13"/>
      <c r="F1262" s="13"/>
      <c r="G1262" s="14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5">
        <v>0.5</v>
      </c>
      <c r="CS1262" s="15">
        <v>0.5</v>
      </c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6">
        <f>SUM(H1262:DL1262)</f>
        <v>1</v>
      </c>
    </row>
    <row r="1263" spans="1:117" x14ac:dyDescent="0.3">
      <c r="A1263" s="17" t="s">
        <v>1029</v>
      </c>
      <c r="B1263" s="13" t="s">
        <v>1030</v>
      </c>
      <c r="C1263" s="13" t="s">
        <v>277</v>
      </c>
      <c r="D1263" s="13">
        <v>599.75</v>
      </c>
      <c r="E1263" s="13">
        <f>0*B2</f>
        <v>0</v>
      </c>
      <c r="F1263" s="13">
        <f>D1263*E1263</f>
        <v>0</v>
      </c>
      <c r="G1263" s="14">
        <f>F1263/A1</f>
        <v>0</v>
      </c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8"/>
      <c r="CS1263" s="18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9"/>
    </row>
    <row r="1264" spans="1:117" x14ac:dyDescent="0.3">
      <c r="A1264" s="12"/>
      <c r="B1264" s="13"/>
      <c r="C1264" s="13"/>
      <c r="D1264" s="13"/>
      <c r="E1264" s="13"/>
      <c r="F1264" s="13"/>
      <c r="G1264" s="14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20">
        <f>+$D1263*CR1262</f>
        <v>299.875</v>
      </c>
      <c r="CS1264" s="20">
        <f>+$D1263*CS1262</f>
        <v>299.875</v>
      </c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21">
        <f>SUM(H1264:DL1264)</f>
        <v>599.75</v>
      </c>
    </row>
    <row r="1265" spans="1:117" x14ac:dyDescent="0.3">
      <c r="A1265" s="12"/>
      <c r="B1265" s="13"/>
      <c r="C1265" s="13"/>
      <c r="D1265" s="13"/>
      <c r="E1265" s="13"/>
      <c r="F1265" s="13"/>
      <c r="G1265" s="14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5">
        <v>1</v>
      </c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6">
        <f>SUM(H1265:DL1265)</f>
        <v>1</v>
      </c>
    </row>
    <row r="1266" spans="1:117" x14ac:dyDescent="0.3">
      <c r="A1266" s="17" t="s">
        <v>1031</v>
      </c>
      <c r="B1266" s="13" t="s">
        <v>1032</v>
      </c>
      <c r="C1266" s="13" t="s">
        <v>277</v>
      </c>
      <c r="D1266" s="13">
        <v>271.2</v>
      </c>
      <c r="E1266" s="13">
        <f>0*B2</f>
        <v>0</v>
      </c>
      <c r="F1266" s="13">
        <f>D1266*E1266</f>
        <v>0</v>
      </c>
      <c r="G1266" s="14">
        <f>F1266/A1</f>
        <v>0</v>
      </c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8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9"/>
    </row>
    <row r="1267" spans="1:117" x14ac:dyDescent="0.3">
      <c r="A1267" s="12"/>
      <c r="B1267" s="13"/>
      <c r="C1267" s="13"/>
      <c r="D1267" s="13"/>
      <c r="E1267" s="13"/>
      <c r="F1267" s="13"/>
      <c r="G1267" s="14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20">
        <f>+$D1266*CS1265</f>
        <v>271.2</v>
      </c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21">
        <f>SUM(H1267:DL1267)</f>
        <v>271.2</v>
      </c>
    </row>
    <row r="1268" spans="1:117" x14ac:dyDescent="0.3">
      <c r="A1268" s="12"/>
      <c r="B1268" s="13"/>
      <c r="C1268" s="13"/>
      <c r="D1268" s="13"/>
      <c r="E1268" s="13"/>
      <c r="F1268" s="13"/>
      <c r="G1268" s="14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5">
        <v>1</v>
      </c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6">
        <f>SUM(H1268:DL1268)</f>
        <v>1</v>
      </c>
    </row>
    <row r="1269" spans="1:117" x14ac:dyDescent="0.3">
      <c r="A1269" s="17" t="s">
        <v>1033</v>
      </c>
      <c r="B1269" s="13" t="s">
        <v>1034</v>
      </c>
      <c r="C1269" s="13" t="s">
        <v>135</v>
      </c>
      <c r="D1269" s="13">
        <v>108</v>
      </c>
      <c r="E1269" s="13">
        <f>65369.2897*B2</f>
        <v>65369.289700000001</v>
      </c>
      <c r="F1269" s="13">
        <f>D1269*E1269</f>
        <v>7059883.2876000004</v>
      </c>
      <c r="G1269" s="14">
        <f>F1269/A1</f>
        <v>9.0512665361221323E-5</v>
      </c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8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9"/>
    </row>
    <row r="1270" spans="1:117" x14ac:dyDescent="0.3">
      <c r="A1270" s="12"/>
      <c r="B1270" s="13"/>
      <c r="C1270" s="13"/>
      <c r="D1270" s="13"/>
      <c r="E1270" s="13"/>
      <c r="F1270" s="13"/>
      <c r="G1270" s="14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20">
        <f>+$D1269*CR1268</f>
        <v>108</v>
      </c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21">
        <f>SUM(H1270:DL1270)</f>
        <v>108</v>
      </c>
    </row>
    <row r="1271" spans="1:117" x14ac:dyDescent="0.3">
      <c r="A1271" s="12"/>
      <c r="B1271" s="13"/>
      <c r="C1271" s="13"/>
      <c r="D1271" s="13"/>
      <c r="E1271" s="13"/>
      <c r="F1271" s="13"/>
      <c r="G1271" s="14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5">
        <v>1</v>
      </c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6">
        <f>SUM(H1271:DL1271)</f>
        <v>1</v>
      </c>
    </row>
    <row r="1272" spans="1:117" x14ac:dyDescent="0.3">
      <c r="A1272" s="17" t="s">
        <v>1035</v>
      </c>
      <c r="B1272" s="13" t="s">
        <v>1036</v>
      </c>
      <c r="C1272" s="13" t="s">
        <v>135</v>
      </c>
      <c r="D1272" s="13">
        <v>36.1</v>
      </c>
      <c r="E1272" s="13">
        <f>251600.6852*B2</f>
        <v>251600.68520000001</v>
      </c>
      <c r="F1272" s="13">
        <f>D1272*E1272</f>
        <v>9082784.7357200012</v>
      </c>
      <c r="G1272" s="14">
        <f>F1272/A1</f>
        <v>1.1644768360068853E-4</v>
      </c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8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9"/>
    </row>
    <row r="1273" spans="1:117" x14ac:dyDescent="0.3">
      <c r="A1273" s="12"/>
      <c r="B1273" s="13"/>
      <c r="C1273" s="13"/>
      <c r="D1273" s="13"/>
      <c r="E1273" s="13"/>
      <c r="F1273" s="13"/>
      <c r="G1273" s="14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20">
        <f>+$D1272*CS1271</f>
        <v>36.1</v>
      </c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21">
        <f>SUM(H1273:DL1273)</f>
        <v>36.1</v>
      </c>
    </row>
    <row r="1274" spans="1:117" x14ac:dyDescent="0.3">
      <c r="A1274" s="12"/>
      <c r="B1274" s="13"/>
      <c r="C1274" s="13"/>
      <c r="D1274" s="13"/>
      <c r="E1274" s="13"/>
      <c r="F1274" s="13"/>
      <c r="G1274" s="14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5">
        <v>0.5</v>
      </c>
      <c r="CT1274" s="15">
        <v>0.5</v>
      </c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6">
        <f>SUM(H1274:DL1274)</f>
        <v>1</v>
      </c>
    </row>
    <row r="1275" spans="1:117" x14ac:dyDescent="0.3">
      <c r="A1275" s="17" t="s">
        <v>1037</v>
      </c>
      <c r="B1275" s="13" t="s">
        <v>1038</v>
      </c>
      <c r="C1275" s="13" t="s">
        <v>277</v>
      </c>
      <c r="D1275" s="13">
        <v>217.19</v>
      </c>
      <c r="E1275" s="13">
        <f>55430.3139*B2</f>
        <v>55430.313900000001</v>
      </c>
      <c r="F1275" s="13">
        <f>D1275*E1275</f>
        <v>12038909.875941001</v>
      </c>
      <c r="G1275" s="14">
        <f>F1275/A1</f>
        <v>1.5434728543301229E-4</v>
      </c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8"/>
      <c r="CT1275" s="18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9"/>
    </row>
    <row r="1276" spans="1:117" x14ac:dyDescent="0.3">
      <c r="A1276" s="12"/>
      <c r="B1276" s="13"/>
      <c r="C1276" s="13"/>
      <c r="D1276" s="13"/>
      <c r="E1276" s="13"/>
      <c r="F1276" s="13"/>
      <c r="G1276" s="14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20">
        <f>+$D1275*CS1274</f>
        <v>108.595</v>
      </c>
      <c r="CT1276" s="20">
        <f>+$D1275*CT1274</f>
        <v>108.595</v>
      </c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21">
        <f>SUM(H1276:DL1276)</f>
        <v>217.19</v>
      </c>
    </row>
    <row r="1277" spans="1:117" x14ac:dyDescent="0.3">
      <c r="A1277" s="12"/>
      <c r="B1277" s="13"/>
      <c r="C1277" s="13"/>
      <c r="D1277" s="13"/>
      <c r="E1277" s="13"/>
      <c r="F1277" s="13"/>
      <c r="G1277" s="14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5">
        <v>1</v>
      </c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6">
        <f>SUM(H1277:DL1277)</f>
        <v>1</v>
      </c>
    </row>
    <row r="1278" spans="1:117" x14ac:dyDescent="0.3">
      <c r="A1278" s="17" t="s">
        <v>1039</v>
      </c>
      <c r="B1278" s="13" t="s">
        <v>1040</v>
      </c>
      <c r="C1278" s="13" t="s">
        <v>277</v>
      </c>
      <c r="D1278" s="13">
        <v>118.42</v>
      </c>
      <c r="E1278" s="13">
        <f>40190.6855*B2</f>
        <v>40190.6855</v>
      </c>
      <c r="F1278" s="13">
        <f>D1278*E1278</f>
        <v>4759380.9769099997</v>
      </c>
      <c r="G1278" s="14">
        <f>F1278/A1</f>
        <v>6.1018608968543179E-5</v>
      </c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8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9"/>
    </row>
    <row r="1279" spans="1:117" x14ac:dyDescent="0.3">
      <c r="A1279" s="12"/>
      <c r="B1279" s="13"/>
      <c r="C1279" s="13"/>
      <c r="D1279" s="13"/>
      <c r="E1279" s="13"/>
      <c r="F1279" s="13"/>
      <c r="G1279" s="14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20">
        <f>+$D1278*CT1277</f>
        <v>118.42</v>
      </c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21">
        <f>SUM(H1279:DL1279)</f>
        <v>118.42</v>
      </c>
    </row>
    <row r="1280" spans="1:117" x14ac:dyDescent="0.3">
      <c r="A1280" s="12"/>
      <c r="B1280" s="13"/>
      <c r="C1280" s="13"/>
      <c r="D1280" s="13"/>
      <c r="E1280" s="13"/>
      <c r="F1280" s="13"/>
      <c r="G1280" s="14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5">
        <v>1</v>
      </c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6">
        <f>SUM(H1280:DL1280)</f>
        <v>1</v>
      </c>
    </row>
    <row r="1281" spans="1:117" x14ac:dyDescent="0.3">
      <c r="A1281" s="17" t="s">
        <v>1041</v>
      </c>
      <c r="B1281" s="13" t="s">
        <v>1042</v>
      </c>
      <c r="C1281" s="13" t="s">
        <v>126</v>
      </c>
      <c r="D1281" s="13">
        <v>116.33</v>
      </c>
      <c r="E1281" s="13">
        <f>0*B2</f>
        <v>0</v>
      </c>
      <c r="F1281" s="13">
        <f>D1281*E1281</f>
        <v>0</v>
      </c>
      <c r="G1281" s="14">
        <f>F1281/A1</f>
        <v>0</v>
      </c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8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9"/>
    </row>
    <row r="1282" spans="1:117" x14ac:dyDescent="0.3">
      <c r="A1282" s="12"/>
      <c r="B1282" s="13"/>
      <c r="C1282" s="13"/>
      <c r="D1282" s="13"/>
      <c r="E1282" s="13"/>
      <c r="F1282" s="13"/>
      <c r="G1282" s="14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20">
        <f>+$D1281*CT1280</f>
        <v>116.33</v>
      </c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21">
        <f>SUM(H1282:DL1282)</f>
        <v>116.33</v>
      </c>
    </row>
    <row r="1283" spans="1:117" x14ac:dyDescent="0.3">
      <c r="A1283" s="12"/>
      <c r="B1283" s="13"/>
      <c r="C1283" s="13"/>
      <c r="D1283" s="13"/>
      <c r="E1283" s="13"/>
      <c r="F1283" s="13"/>
      <c r="G1283" s="14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5">
        <v>1</v>
      </c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6">
        <f>SUM(H1283:DL1283)</f>
        <v>1</v>
      </c>
    </row>
    <row r="1284" spans="1:117" x14ac:dyDescent="0.3">
      <c r="A1284" s="17" t="s">
        <v>1043</v>
      </c>
      <c r="B1284" s="13" t="s">
        <v>1044</v>
      </c>
      <c r="C1284" s="13" t="s">
        <v>277</v>
      </c>
      <c r="D1284" s="13">
        <v>42.38</v>
      </c>
      <c r="E1284" s="13">
        <f>62909.238*B2</f>
        <v>62909.237999999998</v>
      </c>
      <c r="F1284" s="13">
        <f>D1284*E1284</f>
        <v>2666093.5064400001</v>
      </c>
      <c r="G1284" s="14">
        <f>F1284/A1</f>
        <v>3.4181192455968171E-5</v>
      </c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8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9"/>
    </row>
    <row r="1285" spans="1:117" x14ac:dyDescent="0.3">
      <c r="A1285" s="12"/>
      <c r="B1285" s="13"/>
      <c r="C1285" s="13"/>
      <c r="D1285" s="13"/>
      <c r="E1285" s="13"/>
      <c r="F1285" s="13"/>
      <c r="G1285" s="14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20">
        <f>+$D1284*CT1283</f>
        <v>42.38</v>
      </c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21">
        <f>SUM(H1285:DL1285)</f>
        <v>42.38</v>
      </c>
    </row>
    <row r="1286" spans="1:117" x14ac:dyDescent="0.3">
      <c r="A1286" s="12"/>
      <c r="B1286" s="13"/>
      <c r="C1286" s="13"/>
      <c r="D1286" s="13"/>
      <c r="E1286" s="13"/>
      <c r="F1286" s="13"/>
      <c r="G1286" s="14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5">
        <v>1</v>
      </c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6">
        <f>SUM(H1286:DL1286)</f>
        <v>1</v>
      </c>
    </row>
    <row r="1287" spans="1:117" x14ac:dyDescent="0.3">
      <c r="A1287" s="17" t="s">
        <v>1045</v>
      </c>
      <c r="B1287" s="13" t="s">
        <v>1046</v>
      </c>
      <c r="C1287" s="13" t="s">
        <v>126</v>
      </c>
      <c r="D1287" s="13">
        <v>71.09</v>
      </c>
      <c r="E1287" s="13">
        <f>10749.9819*B2</f>
        <v>10749.981900000001</v>
      </c>
      <c r="F1287" s="13">
        <f>D1287*E1287</f>
        <v>764216.21327100007</v>
      </c>
      <c r="G1287" s="14">
        <f>F1287/A1</f>
        <v>9.7977889375183245E-6</v>
      </c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8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9"/>
    </row>
    <row r="1288" spans="1:117" x14ac:dyDescent="0.3">
      <c r="A1288" s="12"/>
      <c r="B1288" s="13"/>
      <c r="C1288" s="13"/>
      <c r="D1288" s="13"/>
      <c r="E1288" s="13"/>
      <c r="F1288" s="13"/>
      <c r="G1288" s="14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20">
        <f>+$D1287*CT1286</f>
        <v>71.09</v>
      </c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21">
        <f>SUM(H1288:DL1288)</f>
        <v>71.09</v>
      </c>
    </row>
    <row r="1289" spans="1:117" x14ac:dyDescent="0.3">
      <c r="A1289" s="12"/>
      <c r="B1289" s="13"/>
      <c r="C1289" s="13"/>
      <c r="D1289" s="13"/>
      <c r="E1289" s="13"/>
      <c r="F1289" s="13"/>
      <c r="G1289" s="14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5">
        <v>1</v>
      </c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6">
        <f>SUM(H1289:DL1289)</f>
        <v>1</v>
      </c>
    </row>
    <row r="1290" spans="1:117" x14ac:dyDescent="0.3">
      <c r="A1290" s="17" t="s">
        <v>1047</v>
      </c>
      <c r="B1290" s="13" t="s">
        <v>1048</v>
      </c>
      <c r="C1290" s="13" t="s">
        <v>277</v>
      </c>
      <c r="D1290" s="13">
        <v>335.61</v>
      </c>
      <c r="E1290" s="13">
        <f>0*B2</f>
        <v>0</v>
      </c>
      <c r="F1290" s="13">
        <f>D1290*E1290</f>
        <v>0</v>
      </c>
      <c r="G1290" s="14">
        <f>F1290/A1</f>
        <v>0</v>
      </c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8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9"/>
    </row>
    <row r="1291" spans="1:117" x14ac:dyDescent="0.3">
      <c r="A1291" s="12"/>
      <c r="B1291" s="13"/>
      <c r="C1291" s="13"/>
      <c r="D1291" s="13"/>
      <c r="E1291" s="13"/>
      <c r="F1291" s="13"/>
      <c r="G1291" s="14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20">
        <f>+$D1290*CT1289</f>
        <v>335.61</v>
      </c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21">
        <f>SUM(H1291:DL1291)</f>
        <v>335.61</v>
      </c>
    </row>
    <row r="1292" spans="1:117" x14ac:dyDescent="0.3">
      <c r="A1292" s="12"/>
      <c r="B1292" s="13"/>
      <c r="C1292" s="13"/>
      <c r="D1292" s="13"/>
      <c r="E1292" s="13"/>
      <c r="F1292" s="13"/>
      <c r="G1292" s="14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5">
        <v>1</v>
      </c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6">
        <f>SUM(H1292:DL1292)</f>
        <v>1</v>
      </c>
    </row>
    <row r="1293" spans="1:117" x14ac:dyDescent="0.3">
      <c r="A1293" s="17" t="s">
        <v>1049</v>
      </c>
      <c r="B1293" s="13" t="s">
        <v>1050</v>
      </c>
      <c r="C1293" s="13" t="s">
        <v>277</v>
      </c>
      <c r="D1293" s="13">
        <v>360</v>
      </c>
      <c r="E1293" s="13">
        <f>0*B2</f>
        <v>0</v>
      </c>
      <c r="F1293" s="13">
        <f>D1293*E1293</f>
        <v>0</v>
      </c>
      <c r="G1293" s="14">
        <f>F1293/A1</f>
        <v>0</v>
      </c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8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9"/>
    </row>
    <row r="1294" spans="1:117" x14ac:dyDescent="0.3">
      <c r="A1294" s="12"/>
      <c r="B1294" s="13"/>
      <c r="C1294" s="13"/>
      <c r="D1294" s="13"/>
      <c r="E1294" s="13"/>
      <c r="F1294" s="13"/>
      <c r="G1294" s="14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20">
        <f>+$D1293*CU1292</f>
        <v>360</v>
      </c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21">
        <f>SUM(H1294:DL1294)</f>
        <v>360</v>
      </c>
    </row>
    <row r="1295" spans="1:117" x14ac:dyDescent="0.3">
      <c r="A1295" s="12"/>
      <c r="B1295" s="13"/>
      <c r="C1295" s="13"/>
      <c r="D1295" s="13"/>
      <c r="E1295" s="13"/>
      <c r="F1295" s="13"/>
      <c r="G1295" s="14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5">
        <v>0.25</v>
      </c>
      <c r="CU1295" s="15">
        <v>0.75</v>
      </c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6">
        <f>SUM(H1295:DL1295)</f>
        <v>1</v>
      </c>
    </row>
    <row r="1296" spans="1:117" x14ac:dyDescent="0.3">
      <c r="A1296" s="17" t="s">
        <v>1051</v>
      </c>
      <c r="B1296" s="13" t="s">
        <v>1052</v>
      </c>
      <c r="C1296" s="13" t="s">
        <v>277</v>
      </c>
      <c r="D1296" s="13">
        <v>506</v>
      </c>
      <c r="E1296" s="13">
        <f>0*B2</f>
        <v>0</v>
      </c>
      <c r="F1296" s="13">
        <f>D1296*E1296</f>
        <v>0</v>
      </c>
      <c r="G1296" s="14">
        <f>F1296/A1</f>
        <v>0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8"/>
      <c r="CU1296" s="18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9"/>
    </row>
    <row r="1297" spans="1:117" x14ac:dyDescent="0.3">
      <c r="A1297" s="12"/>
      <c r="B1297" s="13"/>
      <c r="C1297" s="13"/>
      <c r="D1297" s="13"/>
      <c r="E1297" s="13"/>
      <c r="F1297" s="13"/>
      <c r="G1297" s="14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20">
        <f>+$D1296*CT1295</f>
        <v>126.5</v>
      </c>
      <c r="CU1297" s="20">
        <f>+$D1296*CU1295</f>
        <v>379.5</v>
      </c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21">
        <f>SUM(H1297:DL1297)</f>
        <v>506</v>
      </c>
    </row>
    <row r="1298" spans="1:117" x14ac:dyDescent="0.3">
      <c r="A1298" s="12"/>
      <c r="B1298" s="13"/>
      <c r="C1298" s="13"/>
      <c r="D1298" s="13"/>
      <c r="E1298" s="13"/>
      <c r="F1298" s="13"/>
      <c r="G1298" s="14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5">
        <v>1</v>
      </c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6">
        <f>SUM(H1298:DL1298)</f>
        <v>1</v>
      </c>
    </row>
    <row r="1299" spans="1:117" x14ac:dyDescent="0.3">
      <c r="A1299" s="17" t="s">
        <v>1053</v>
      </c>
      <c r="B1299" s="13" t="s">
        <v>1054</v>
      </c>
      <c r="C1299" s="13" t="s">
        <v>319</v>
      </c>
      <c r="D1299" s="13">
        <v>1</v>
      </c>
      <c r="E1299" s="13">
        <f>206167387.6341*B2</f>
        <v>206167387.63409999</v>
      </c>
      <c r="F1299" s="13">
        <f>D1299*E1299</f>
        <v>206167387.63409999</v>
      </c>
      <c r="G1299" s="14">
        <f>F1299/A1</f>
        <v>2.6432108018128722E-3</v>
      </c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8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9"/>
    </row>
    <row r="1300" spans="1:117" x14ac:dyDescent="0.3">
      <c r="A1300" s="12"/>
      <c r="B1300" s="13"/>
      <c r="C1300" s="13"/>
      <c r="D1300" s="13"/>
      <c r="E1300" s="13"/>
      <c r="F1300" s="13"/>
      <c r="G1300" s="14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20">
        <f>+$D1299*CU1298</f>
        <v>1</v>
      </c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21">
        <f>SUM(H1300:DL1300)</f>
        <v>1</v>
      </c>
    </row>
    <row r="1301" spans="1:117" x14ac:dyDescent="0.3">
      <c r="A1301" s="12"/>
      <c r="B1301" s="13"/>
      <c r="C1301" s="13"/>
      <c r="D1301" s="13"/>
      <c r="E1301" s="13"/>
      <c r="F1301" s="13"/>
      <c r="G1301" s="14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5">
        <v>1</v>
      </c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6">
        <f>SUM(H1301:DL1301)</f>
        <v>1</v>
      </c>
    </row>
    <row r="1302" spans="1:117" x14ac:dyDescent="0.3">
      <c r="A1302" s="17" t="s">
        <v>1055</v>
      </c>
      <c r="B1302" s="13" t="s">
        <v>1056</v>
      </c>
      <c r="C1302" s="13" t="s">
        <v>319</v>
      </c>
      <c r="D1302" s="13">
        <v>1</v>
      </c>
      <c r="E1302" s="13">
        <f>2697939.2336*B2</f>
        <v>2697939.2335999999</v>
      </c>
      <c r="F1302" s="13">
        <f>D1302*E1302</f>
        <v>2697939.2335999999</v>
      </c>
      <c r="G1302" s="14">
        <f>F1302/A1</f>
        <v>3.4589477059012611E-5</v>
      </c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8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9"/>
    </row>
    <row r="1303" spans="1:117" x14ac:dyDescent="0.3">
      <c r="A1303" s="12"/>
      <c r="B1303" s="13"/>
      <c r="C1303" s="13"/>
      <c r="D1303" s="13"/>
      <c r="E1303" s="13"/>
      <c r="F1303" s="13"/>
      <c r="G1303" s="14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20">
        <f>+$D1302*CU1301</f>
        <v>1</v>
      </c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21">
        <f>SUM(H1303:DL1303)</f>
        <v>1</v>
      </c>
    </row>
    <row r="1304" spans="1:117" x14ac:dyDescent="0.3">
      <c r="A1304" s="12"/>
      <c r="B1304" s="13"/>
      <c r="C1304" s="13"/>
      <c r="D1304" s="13"/>
      <c r="E1304" s="13"/>
      <c r="F1304" s="13"/>
      <c r="G1304" s="14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5">
        <v>1</v>
      </c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6">
        <f>SUM(H1304:DL1304)</f>
        <v>1</v>
      </c>
    </row>
    <row r="1305" spans="1:117" x14ac:dyDescent="0.3">
      <c r="A1305" s="17" t="s">
        <v>1057</v>
      </c>
      <c r="B1305" s="13" t="s">
        <v>1058</v>
      </c>
      <c r="C1305" s="13" t="s">
        <v>319</v>
      </c>
      <c r="D1305" s="13">
        <v>1</v>
      </c>
      <c r="E1305" s="13">
        <f>836054.4331*B2</f>
        <v>836054.43310000002</v>
      </c>
      <c r="F1305" s="13">
        <f>D1305*E1305</f>
        <v>836054.43310000002</v>
      </c>
      <c r="G1305" s="14">
        <f>F1305/A1</f>
        <v>1.0718805402896546E-5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8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9"/>
    </row>
    <row r="1306" spans="1:117" x14ac:dyDescent="0.3">
      <c r="A1306" s="12"/>
      <c r="B1306" s="13"/>
      <c r="C1306" s="13"/>
      <c r="D1306" s="13"/>
      <c r="E1306" s="13"/>
      <c r="F1306" s="13"/>
      <c r="G1306" s="14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20">
        <f>+$D1305*CU1304</f>
        <v>1</v>
      </c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21">
        <f>SUM(H1306:DL1306)</f>
        <v>1</v>
      </c>
    </row>
    <row r="1307" spans="1:117" x14ac:dyDescent="0.3">
      <c r="A1307" s="12"/>
      <c r="B1307" s="13"/>
      <c r="C1307" s="13"/>
      <c r="D1307" s="13"/>
      <c r="E1307" s="13"/>
      <c r="F1307" s="13"/>
      <c r="G1307" s="14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5">
        <v>0.5</v>
      </c>
      <c r="CS1307" s="13"/>
      <c r="CT1307" s="15">
        <v>0.3</v>
      </c>
      <c r="CU1307" s="15">
        <v>0.2</v>
      </c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6">
        <f>SUM(H1307:DL1307)</f>
        <v>1</v>
      </c>
    </row>
    <row r="1308" spans="1:117" x14ac:dyDescent="0.3">
      <c r="A1308" s="17" t="s">
        <v>1059</v>
      </c>
      <c r="B1308" s="13" t="s">
        <v>1060</v>
      </c>
      <c r="C1308" s="13" t="s">
        <v>319</v>
      </c>
      <c r="D1308" s="13">
        <v>1</v>
      </c>
      <c r="E1308" s="13">
        <f>22881555.744*B2</f>
        <v>22881555.743999999</v>
      </c>
      <c r="F1308" s="13">
        <f>D1308*E1308</f>
        <v>22881555.743999999</v>
      </c>
      <c r="G1308" s="14">
        <f>F1308/A1</f>
        <v>2.9335762556279623E-4</v>
      </c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8"/>
      <c r="CS1308" s="13"/>
      <c r="CT1308" s="18"/>
      <c r="CU1308" s="18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9"/>
    </row>
    <row r="1309" spans="1:117" x14ac:dyDescent="0.3">
      <c r="A1309" s="12"/>
      <c r="B1309" s="13"/>
      <c r="C1309" s="13"/>
      <c r="D1309" s="13"/>
      <c r="E1309" s="13"/>
      <c r="F1309" s="13"/>
      <c r="G1309" s="14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20">
        <f>+$D1308*CR1307</f>
        <v>0.5</v>
      </c>
      <c r="CS1309" s="13"/>
      <c r="CT1309" s="20">
        <f>+$D1308*CT1307</f>
        <v>0.3</v>
      </c>
      <c r="CU1309" s="20">
        <f>+$D1308*CU1307</f>
        <v>0.2</v>
      </c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21">
        <f>SUM(H1309:DL1309)</f>
        <v>1</v>
      </c>
    </row>
    <row r="1310" spans="1:117" x14ac:dyDescent="0.3">
      <c r="A1310" s="12"/>
      <c r="B1310" s="13"/>
      <c r="C1310" s="13"/>
      <c r="D1310" s="13"/>
      <c r="E1310" s="13"/>
      <c r="F1310" s="13"/>
      <c r="G1310" s="14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5">
        <v>0.5</v>
      </c>
      <c r="CS1310" s="13"/>
      <c r="CT1310" s="15">
        <v>0.3</v>
      </c>
      <c r="CU1310" s="15">
        <v>0.2</v>
      </c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6">
        <f>SUM(H1310:DL1310)</f>
        <v>1</v>
      </c>
    </row>
    <row r="1311" spans="1:117" x14ac:dyDescent="0.3">
      <c r="A1311" s="17" t="s">
        <v>1061</v>
      </c>
      <c r="B1311" s="13" t="s">
        <v>1062</v>
      </c>
      <c r="C1311" s="13" t="s">
        <v>319</v>
      </c>
      <c r="D1311" s="13">
        <v>1</v>
      </c>
      <c r="E1311" s="13">
        <f>12897386.96*B2</f>
        <v>12897386.960000001</v>
      </c>
      <c r="F1311" s="13">
        <f>D1311*E1311</f>
        <v>12897386.960000001</v>
      </c>
      <c r="G1311" s="14">
        <f>F1311/A1</f>
        <v>1.6535356497961431E-4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8"/>
      <c r="CS1311" s="13"/>
      <c r="CT1311" s="18"/>
      <c r="CU1311" s="18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9"/>
    </row>
    <row r="1312" spans="1:117" x14ac:dyDescent="0.3">
      <c r="A1312" s="12"/>
      <c r="B1312" s="13"/>
      <c r="C1312" s="13"/>
      <c r="D1312" s="13"/>
      <c r="E1312" s="13"/>
      <c r="F1312" s="13"/>
      <c r="G1312" s="14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20">
        <f>+$D1311*CR1310</f>
        <v>0.5</v>
      </c>
      <c r="CS1312" s="13"/>
      <c r="CT1312" s="20">
        <f>+$D1311*CT1310</f>
        <v>0.3</v>
      </c>
      <c r="CU1312" s="20">
        <f>+$D1311*CU1310</f>
        <v>0.2</v>
      </c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21">
        <f>SUM(H1312:DL1312)</f>
        <v>1</v>
      </c>
    </row>
    <row r="1313" spans="1:117" x14ac:dyDescent="0.3">
      <c r="A1313" s="8" t="s">
        <v>1063</v>
      </c>
      <c r="B1313" s="9" t="s">
        <v>1064</v>
      </c>
      <c r="C1313" s="9"/>
      <c r="D1313" s="9"/>
      <c r="E1313" s="9"/>
      <c r="F1313" s="9"/>
      <c r="G1313" s="10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11"/>
    </row>
    <row r="1314" spans="1:117" x14ac:dyDescent="0.3">
      <c r="A1314" s="12"/>
      <c r="B1314" s="13"/>
      <c r="C1314" s="13"/>
      <c r="D1314" s="13"/>
      <c r="E1314" s="13"/>
      <c r="F1314" s="13"/>
      <c r="G1314" s="14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5">
        <v>1</v>
      </c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6">
        <f>SUM(H1314:DL1314)</f>
        <v>1</v>
      </c>
    </row>
    <row r="1315" spans="1:117" x14ac:dyDescent="0.3">
      <c r="A1315" s="17" t="s">
        <v>1065</v>
      </c>
      <c r="B1315" s="13" t="s">
        <v>1066</v>
      </c>
      <c r="C1315" s="13" t="s">
        <v>135</v>
      </c>
      <c r="D1315" s="13">
        <v>25.78</v>
      </c>
      <c r="E1315" s="13">
        <f>80657.1717*B2</f>
        <v>80657.171700000006</v>
      </c>
      <c r="F1315" s="13">
        <f>D1315*E1315</f>
        <v>2079341.8864260002</v>
      </c>
      <c r="G1315" s="14">
        <f>F1315/A1</f>
        <v>2.6658624324316262E-5</v>
      </c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8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9"/>
    </row>
    <row r="1316" spans="1:117" x14ac:dyDescent="0.3">
      <c r="A1316" s="12"/>
      <c r="B1316" s="13"/>
      <c r="C1316" s="13"/>
      <c r="D1316" s="13"/>
      <c r="E1316" s="13"/>
      <c r="F1316" s="13"/>
      <c r="G1316" s="14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20">
        <f>+$D1315*CT1314</f>
        <v>25.78</v>
      </c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21">
        <f>SUM(H1316:DL1316)</f>
        <v>25.78</v>
      </c>
    </row>
    <row r="1317" spans="1:117" x14ac:dyDescent="0.3">
      <c r="A1317" s="12"/>
      <c r="B1317" s="13"/>
      <c r="C1317" s="13"/>
      <c r="D1317" s="13"/>
      <c r="E1317" s="13"/>
      <c r="F1317" s="13"/>
      <c r="G1317" s="14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5">
        <v>1</v>
      </c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6">
        <f>SUM(H1317:DL1317)</f>
        <v>1</v>
      </c>
    </row>
    <row r="1318" spans="1:117" x14ac:dyDescent="0.3">
      <c r="A1318" s="17" t="s">
        <v>1067</v>
      </c>
      <c r="B1318" s="13" t="s">
        <v>1068</v>
      </c>
      <c r="C1318" s="13" t="s">
        <v>135</v>
      </c>
      <c r="D1318" s="13">
        <v>1.64</v>
      </c>
      <c r="E1318" s="13">
        <f>410773.3868*B2</f>
        <v>410773.38679999998</v>
      </c>
      <c r="F1318" s="13">
        <f>D1318*E1318</f>
        <v>673668.35435199994</v>
      </c>
      <c r="G1318" s="14">
        <f>F1318/A1</f>
        <v>8.6369017500621892E-6</v>
      </c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8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9"/>
    </row>
    <row r="1319" spans="1:117" x14ac:dyDescent="0.3">
      <c r="A1319" s="12"/>
      <c r="B1319" s="13"/>
      <c r="C1319" s="13"/>
      <c r="D1319" s="13"/>
      <c r="E1319" s="13"/>
      <c r="F1319" s="13"/>
      <c r="G1319" s="14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20">
        <f>+$D1318*CT1317</f>
        <v>1.64</v>
      </c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21">
        <f>SUM(H1319:DL1319)</f>
        <v>1.64</v>
      </c>
    </row>
    <row r="1320" spans="1:117" x14ac:dyDescent="0.3">
      <c r="A1320" s="12"/>
      <c r="B1320" s="13"/>
      <c r="C1320" s="13"/>
      <c r="D1320" s="13"/>
      <c r="E1320" s="13"/>
      <c r="F1320" s="13"/>
      <c r="G1320" s="14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5">
        <v>1</v>
      </c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6">
        <f>SUM(H1320:DL1320)</f>
        <v>1</v>
      </c>
    </row>
    <row r="1321" spans="1:117" x14ac:dyDescent="0.3">
      <c r="A1321" s="17" t="s">
        <v>1069</v>
      </c>
      <c r="B1321" s="13" t="s">
        <v>1070</v>
      </c>
      <c r="C1321" s="13" t="s">
        <v>135</v>
      </c>
      <c r="D1321" s="13">
        <v>30.57</v>
      </c>
      <c r="E1321" s="13">
        <f>675827.0183*B2</f>
        <v>675827.0183</v>
      </c>
      <c r="F1321" s="13">
        <f>D1321*E1321</f>
        <v>20660031.949430998</v>
      </c>
      <c r="G1321" s="14">
        <f>F1321/A1</f>
        <v>2.6487612925208738E-4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8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9"/>
    </row>
    <row r="1322" spans="1:117" x14ac:dyDescent="0.3">
      <c r="A1322" s="12"/>
      <c r="B1322" s="13"/>
      <c r="C1322" s="13"/>
      <c r="D1322" s="13"/>
      <c r="E1322" s="13"/>
      <c r="F1322" s="13"/>
      <c r="G1322" s="14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20">
        <f>+$D1321*CU1320</f>
        <v>30.57</v>
      </c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21">
        <f>SUM(H1322:DL1322)</f>
        <v>30.57</v>
      </c>
    </row>
    <row r="1323" spans="1:117" x14ac:dyDescent="0.3">
      <c r="A1323" s="12"/>
      <c r="B1323" s="13"/>
      <c r="C1323" s="13"/>
      <c r="D1323" s="13"/>
      <c r="E1323" s="13"/>
      <c r="F1323" s="13"/>
      <c r="G1323" s="14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5">
        <v>0.5</v>
      </c>
      <c r="CV1323" s="15">
        <v>0.5</v>
      </c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6">
        <f>SUM(H1323:DL1323)</f>
        <v>1</v>
      </c>
    </row>
    <row r="1324" spans="1:117" x14ac:dyDescent="0.3">
      <c r="A1324" s="17" t="s">
        <v>1071</v>
      </c>
      <c r="B1324" s="13" t="s">
        <v>1072</v>
      </c>
      <c r="C1324" s="13" t="s">
        <v>135</v>
      </c>
      <c r="D1324" s="13">
        <v>94.44</v>
      </c>
      <c r="E1324" s="13">
        <f>0*B2</f>
        <v>0</v>
      </c>
      <c r="F1324" s="13">
        <f>D1324*E1324</f>
        <v>0</v>
      </c>
      <c r="G1324" s="14">
        <f>F1324/A1</f>
        <v>0</v>
      </c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8"/>
      <c r="CV1324" s="18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9"/>
    </row>
    <row r="1325" spans="1:117" x14ac:dyDescent="0.3">
      <c r="A1325" s="12"/>
      <c r="B1325" s="13"/>
      <c r="C1325" s="13"/>
      <c r="D1325" s="13"/>
      <c r="E1325" s="13"/>
      <c r="F1325" s="13"/>
      <c r="G1325" s="14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20">
        <f>+$D1324*CU1323</f>
        <v>47.22</v>
      </c>
      <c r="CV1325" s="20">
        <f>+$D1324*CV1323</f>
        <v>47.22</v>
      </c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21">
        <f>SUM(H1325:DL1325)</f>
        <v>94.44</v>
      </c>
    </row>
    <row r="1326" spans="1:117" x14ac:dyDescent="0.3">
      <c r="A1326" s="12"/>
      <c r="B1326" s="13"/>
      <c r="C1326" s="13"/>
      <c r="D1326" s="13"/>
      <c r="E1326" s="13"/>
      <c r="F1326" s="13"/>
      <c r="G1326" s="14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5">
        <v>1</v>
      </c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6">
        <f>SUM(H1326:DL1326)</f>
        <v>1</v>
      </c>
    </row>
    <row r="1327" spans="1:117" x14ac:dyDescent="0.3">
      <c r="A1327" s="17" t="s">
        <v>1073</v>
      </c>
      <c r="B1327" s="13" t="s">
        <v>1074</v>
      </c>
      <c r="C1327" s="13" t="s">
        <v>135</v>
      </c>
      <c r="D1327" s="13">
        <v>26.34</v>
      </c>
      <c r="E1327" s="13">
        <f>0*B2</f>
        <v>0</v>
      </c>
      <c r="F1327" s="13">
        <f>D1327*E1327</f>
        <v>0</v>
      </c>
      <c r="G1327" s="14">
        <f>F1327/A1</f>
        <v>0</v>
      </c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8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9"/>
    </row>
    <row r="1328" spans="1:117" x14ac:dyDescent="0.3">
      <c r="A1328" s="12"/>
      <c r="B1328" s="13"/>
      <c r="C1328" s="13"/>
      <c r="D1328" s="13"/>
      <c r="E1328" s="13"/>
      <c r="F1328" s="13"/>
      <c r="G1328" s="14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20">
        <f>+$D1327*CV1326</f>
        <v>26.34</v>
      </c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21">
        <f>SUM(H1328:DL1328)</f>
        <v>26.34</v>
      </c>
    </row>
    <row r="1329" spans="1:117" x14ac:dyDescent="0.3">
      <c r="A1329" s="12"/>
      <c r="B1329" s="13"/>
      <c r="C1329" s="13"/>
      <c r="D1329" s="13"/>
      <c r="E1329" s="13"/>
      <c r="F1329" s="13"/>
      <c r="G1329" s="14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5">
        <v>1</v>
      </c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6">
        <f>SUM(H1329:DL1329)</f>
        <v>1</v>
      </c>
    </row>
    <row r="1330" spans="1:117" x14ac:dyDescent="0.3">
      <c r="A1330" s="17" t="s">
        <v>1075</v>
      </c>
      <c r="B1330" s="13" t="s">
        <v>1076</v>
      </c>
      <c r="C1330" s="13" t="s">
        <v>277</v>
      </c>
      <c r="D1330" s="13">
        <v>230.22</v>
      </c>
      <c r="E1330" s="13">
        <f>0*B2</f>
        <v>0</v>
      </c>
      <c r="F1330" s="13">
        <f>D1330*E1330</f>
        <v>0</v>
      </c>
      <c r="G1330" s="14">
        <f>F1330/A1</f>
        <v>0</v>
      </c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8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9"/>
    </row>
    <row r="1331" spans="1:117" x14ac:dyDescent="0.3">
      <c r="A1331" s="12"/>
      <c r="B1331" s="13"/>
      <c r="C1331" s="13"/>
      <c r="D1331" s="13"/>
      <c r="E1331" s="13"/>
      <c r="F1331" s="13"/>
      <c r="G1331" s="14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20">
        <f>+$D1330*CV1329</f>
        <v>230.22</v>
      </c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21">
        <f>SUM(H1331:DL1331)</f>
        <v>230.22</v>
      </c>
    </row>
    <row r="1332" spans="1:117" x14ac:dyDescent="0.3">
      <c r="A1332" s="12"/>
      <c r="B1332" s="13"/>
      <c r="C1332" s="13"/>
      <c r="D1332" s="13"/>
      <c r="E1332" s="13"/>
      <c r="F1332" s="13"/>
      <c r="G1332" s="14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5">
        <v>1</v>
      </c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6">
        <f>SUM(H1332:DL1332)</f>
        <v>1</v>
      </c>
    </row>
    <row r="1333" spans="1:117" x14ac:dyDescent="0.3">
      <c r="A1333" s="17" t="s">
        <v>1077</v>
      </c>
      <c r="B1333" s="13" t="s">
        <v>1078</v>
      </c>
      <c r="C1333" s="13" t="s">
        <v>277</v>
      </c>
      <c r="D1333" s="13">
        <v>125.78</v>
      </c>
      <c r="E1333" s="13">
        <f>0*B2</f>
        <v>0</v>
      </c>
      <c r="F1333" s="13">
        <f>D1333*E1333</f>
        <v>0</v>
      </c>
      <c r="G1333" s="14">
        <f>F1333/A1</f>
        <v>0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8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9"/>
    </row>
    <row r="1334" spans="1:117" x14ac:dyDescent="0.3">
      <c r="A1334" s="12"/>
      <c r="B1334" s="13"/>
      <c r="C1334" s="13"/>
      <c r="D1334" s="13"/>
      <c r="E1334" s="13"/>
      <c r="F1334" s="13"/>
      <c r="G1334" s="14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20">
        <f>+$D1333*CV1332</f>
        <v>125.78</v>
      </c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21">
        <f>SUM(H1334:DL1334)</f>
        <v>125.78</v>
      </c>
    </row>
    <row r="1335" spans="1:117" x14ac:dyDescent="0.3">
      <c r="A1335" s="12"/>
      <c r="B1335" s="13"/>
      <c r="C1335" s="13"/>
      <c r="D1335" s="13"/>
      <c r="E1335" s="13"/>
      <c r="F1335" s="13"/>
      <c r="G1335" s="14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5">
        <v>1</v>
      </c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6">
        <f>SUM(H1335:DL1335)</f>
        <v>1</v>
      </c>
    </row>
    <row r="1336" spans="1:117" x14ac:dyDescent="0.3">
      <c r="A1336" s="17" t="s">
        <v>1079</v>
      </c>
      <c r="B1336" s="13" t="s">
        <v>1080</v>
      </c>
      <c r="C1336" s="13" t="s">
        <v>277</v>
      </c>
      <c r="D1336" s="13">
        <v>64.8</v>
      </c>
      <c r="E1336" s="13">
        <f>0*B2</f>
        <v>0</v>
      </c>
      <c r="F1336" s="13">
        <f>D1336*E1336</f>
        <v>0</v>
      </c>
      <c r="G1336" s="14">
        <f>F1336/A1</f>
        <v>0</v>
      </c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8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9"/>
    </row>
    <row r="1337" spans="1:117" x14ac:dyDescent="0.3">
      <c r="A1337" s="12"/>
      <c r="B1337" s="13"/>
      <c r="C1337" s="13"/>
      <c r="D1337" s="13"/>
      <c r="E1337" s="13"/>
      <c r="F1337" s="13"/>
      <c r="G1337" s="14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20">
        <f>+$D1336*CV1335</f>
        <v>64.8</v>
      </c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21">
        <f>SUM(H1337:DL1337)</f>
        <v>64.8</v>
      </c>
    </row>
    <row r="1338" spans="1:117" x14ac:dyDescent="0.3">
      <c r="A1338" s="12"/>
      <c r="B1338" s="13"/>
      <c r="C1338" s="13"/>
      <c r="D1338" s="13"/>
      <c r="E1338" s="13"/>
      <c r="F1338" s="13"/>
      <c r="G1338" s="14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5">
        <v>1</v>
      </c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6">
        <f>SUM(H1338:DL1338)</f>
        <v>1</v>
      </c>
    </row>
    <row r="1339" spans="1:117" x14ac:dyDescent="0.3">
      <c r="A1339" s="17" t="s">
        <v>1081</v>
      </c>
      <c r="B1339" s="13" t="s">
        <v>1082</v>
      </c>
      <c r="C1339" s="13" t="s">
        <v>277</v>
      </c>
      <c r="D1339" s="13">
        <v>94.44</v>
      </c>
      <c r="E1339" s="13">
        <f>0*B2</f>
        <v>0</v>
      </c>
      <c r="F1339" s="13">
        <f>D1339*E1339</f>
        <v>0</v>
      </c>
      <c r="G1339" s="14">
        <f>F1339/A1</f>
        <v>0</v>
      </c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8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9"/>
    </row>
    <row r="1340" spans="1:117" x14ac:dyDescent="0.3">
      <c r="A1340" s="12"/>
      <c r="B1340" s="13"/>
      <c r="C1340" s="13"/>
      <c r="D1340" s="13"/>
      <c r="E1340" s="13"/>
      <c r="F1340" s="13"/>
      <c r="G1340" s="14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20">
        <f>+$D1339*CV1338</f>
        <v>94.44</v>
      </c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21">
        <f>SUM(H1340:DL1340)</f>
        <v>94.44</v>
      </c>
    </row>
    <row r="1341" spans="1:117" x14ac:dyDescent="0.3">
      <c r="A1341" s="12"/>
      <c r="B1341" s="13"/>
      <c r="C1341" s="13"/>
      <c r="D1341" s="13"/>
      <c r="E1341" s="13"/>
      <c r="F1341" s="13"/>
      <c r="G1341" s="14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5">
        <v>1</v>
      </c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6">
        <f>SUM(H1341:DL1341)</f>
        <v>1</v>
      </c>
    </row>
    <row r="1342" spans="1:117" x14ac:dyDescent="0.3">
      <c r="A1342" s="17" t="s">
        <v>1083</v>
      </c>
      <c r="B1342" s="13" t="s">
        <v>1084</v>
      </c>
      <c r="C1342" s="13" t="s">
        <v>135</v>
      </c>
      <c r="D1342" s="13">
        <v>16.2</v>
      </c>
      <c r="E1342" s="13">
        <f>65384.778*B2</f>
        <v>65384.777999999998</v>
      </c>
      <c r="F1342" s="13">
        <f>D1342*E1342</f>
        <v>1059233.4035999998</v>
      </c>
      <c r="G1342" s="14">
        <f>F1342/A1</f>
        <v>1.3580116652617716E-5</v>
      </c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8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9"/>
    </row>
    <row r="1343" spans="1:117" x14ac:dyDescent="0.3">
      <c r="A1343" s="12"/>
      <c r="B1343" s="13"/>
      <c r="C1343" s="13"/>
      <c r="D1343" s="13"/>
      <c r="E1343" s="13"/>
      <c r="F1343" s="13"/>
      <c r="G1343" s="14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20">
        <f>+$D1342*CV1341</f>
        <v>16.2</v>
      </c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21">
        <f>SUM(H1343:DL1343)</f>
        <v>16.2</v>
      </c>
    </row>
    <row r="1344" spans="1:117" x14ac:dyDescent="0.3">
      <c r="A1344" s="12"/>
      <c r="B1344" s="13"/>
      <c r="C1344" s="13"/>
      <c r="D1344" s="13"/>
      <c r="E1344" s="13"/>
      <c r="F1344" s="13"/>
      <c r="G1344" s="14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5">
        <v>1</v>
      </c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6">
        <f>SUM(H1344:DL1344)</f>
        <v>1</v>
      </c>
    </row>
    <row r="1345" spans="1:117" x14ac:dyDescent="0.3">
      <c r="A1345" s="17" t="s">
        <v>1085</v>
      </c>
      <c r="B1345" s="13" t="s">
        <v>1086</v>
      </c>
      <c r="C1345" s="13" t="s">
        <v>135</v>
      </c>
      <c r="D1345" s="13">
        <v>9.67</v>
      </c>
      <c r="E1345" s="13">
        <f>251927.4728*B2</f>
        <v>251927.47279999999</v>
      </c>
      <c r="F1345" s="13">
        <f>D1345*E1345</f>
        <v>2436138.6619759998</v>
      </c>
      <c r="G1345" s="14">
        <f>F1345/A1</f>
        <v>3.1233009740013189E-5</v>
      </c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8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9"/>
    </row>
    <row r="1346" spans="1:117" x14ac:dyDescent="0.3">
      <c r="A1346" s="12"/>
      <c r="B1346" s="13"/>
      <c r="C1346" s="13"/>
      <c r="D1346" s="13"/>
      <c r="E1346" s="13"/>
      <c r="F1346" s="13"/>
      <c r="G1346" s="14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20">
        <f>+$D1345*CV1344</f>
        <v>9.67</v>
      </c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21">
        <f>SUM(H1346:DL1346)</f>
        <v>9.67</v>
      </c>
    </row>
    <row r="1347" spans="1:117" x14ac:dyDescent="0.3">
      <c r="A1347" s="12"/>
      <c r="B1347" s="13"/>
      <c r="C1347" s="13"/>
      <c r="D1347" s="13"/>
      <c r="E1347" s="13"/>
      <c r="F1347" s="13"/>
      <c r="G1347" s="14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5">
        <v>1</v>
      </c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6">
        <f>SUM(H1347:DL1347)</f>
        <v>1</v>
      </c>
    </row>
    <row r="1348" spans="1:117" x14ac:dyDescent="0.3">
      <c r="A1348" s="17" t="s">
        <v>1087</v>
      </c>
      <c r="B1348" s="13" t="s">
        <v>1088</v>
      </c>
      <c r="C1348" s="13" t="s">
        <v>277</v>
      </c>
      <c r="D1348" s="13">
        <v>46.49</v>
      </c>
      <c r="E1348" s="13">
        <f>55431.9173*B2</f>
        <v>55431.917300000001</v>
      </c>
      <c r="F1348" s="13">
        <f>D1348*E1348</f>
        <v>2577029.835277</v>
      </c>
      <c r="G1348" s="14">
        <f>F1348/A1</f>
        <v>3.3039333598616023E-5</v>
      </c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8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9"/>
    </row>
    <row r="1349" spans="1:117" x14ac:dyDescent="0.3">
      <c r="A1349" s="12"/>
      <c r="B1349" s="13"/>
      <c r="C1349" s="13"/>
      <c r="D1349" s="13"/>
      <c r="E1349" s="13"/>
      <c r="F1349" s="13"/>
      <c r="G1349" s="14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20">
        <f>+$D1348*CV1347</f>
        <v>46.49</v>
      </c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21">
        <f>SUM(H1349:DL1349)</f>
        <v>46.49</v>
      </c>
    </row>
    <row r="1350" spans="1:117" x14ac:dyDescent="0.3">
      <c r="A1350" s="12"/>
      <c r="B1350" s="13"/>
      <c r="C1350" s="13"/>
      <c r="D1350" s="13"/>
      <c r="E1350" s="13"/>
      <c r="F1350" s="13"/>
      <c r="G1350" s="14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5">
        <v>1</v>
      </c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6">
        <f>SUM(H1350:DL1350)</f>
        <v>1</v>
      </c>
    </row>
    <row r="1351" spans="1:117" x14ac:dyDescent="0.3">
      <c r="A1351" s="17" t="s">
        <v>1089</v>
      </c>
      <c r="B1351" s="13" t="s">
        <v>1090</v>
      </c>
      <c r="C1351" s="13" t="s">
        <v>277</v>
      </c>
      <c r="D1351" s="13">
        <v>26.65</v>
      </c>
      <c r="E1351" s="13">
        <f>40192.2488*B2</f>
        <v>40192.248800000001</v>
      </c>
      <c r="F1351" s="13">
        <f>D1351*E1351</f>
        <v>1071123.4305199999</v>
      </c>
      <c r="G1351" s="14">
        <f>F1351/A1</f>
        <v>1.3732555153922139E-5</v>
      </c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8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9"/>
    </row>
    <row r="1352" spans="1:117" x14ac:dyDescent="0.3">
      <c r="A1352" s="12"/>
      <c r="B1352" s="13"/>
      <c r="C1352" s="13"/>
      <c r="D1352" s="13"/>
      <c r="E1352" s="13"/>
      <c r="F1352" s="13"/>
      <c r="G1352" s="14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20">
        <f>+$D1351*CV1350</f>
        <v>26.65</v>
      </c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21">
        <f>SUM(H1352:DL1352)</f>
        <v>26.65</v>
      </c>
    </row>
    <row r="1353" spans="1:117" x14ac:dyDescent="0.3">
      <c r="A1353" s="12"/>
      <c r="B1353" s="13"/>
      <c r="C1353" s="13"/>
      <c r="D1353" s="13"/>
      <c r="E1353" s="13"/>
      <c r="F1353" s="13"/>
      <c r="G1353" s="14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5">
        <v>1</v>
      </c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6">
        <f>SUM(H1353:DL1353)</f>
        <v>1</v>
      </c>
    </row>
    <row r="1354" spans="1:117" x14ac:dyDescent="0.3">
      <c r="A1354" s="17" t="s">
        <v>1091</v>
      </c>
      <c r="B1354" s="13" t="s">
        <v>1092</v>
      </c>
      <c r="C1354" s="13" t="s">
        <v>277</v>
      </c>
      <c r="D1354" s="13">
        <v>15</v>
      </c>
      <c r="E1354" s="13">
        <f>62909.238*B2</f>
        <v>62909.237999999998</v>
      </c>
      <c r="F1354" s="13">
        <f>D1354*E1354</f>
        <v>943638.57</v>
      </c>
      <c r="G1354" s="14">
        <f>F1354/A1</f>
        <v>1.2098109646992037E-5</v>
      </c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8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9"/>
    </row>
    <row r="1355" spans="1:117" x14ac:dyDescent="0.3">
      <c r="A1355" s="12"/>
      <c r="B1355" s="13"/>
      <c r="C1355" s="13"/>
      <c r="D1355" s="13"/>
      <c r="E1355" s="13"/>
      <c r="F1355" s="13"/>
      <c r="G1355" s="14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20">
        <f>+$D1354*CV1353</f>
        <v>15</v>
      </c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21">
        <f>SUM(H1355:DL1355)</f>
        <v>15</v>
      </c>
    </row>
    <row r="1356" spans="1:117" x14ac:dyDescent="0.3">
      <c r="A1356" s="12"/>
      <c r="B1356" s="13"/>
      <c r="C1356" s="13"/>
      <c r="D1356" s="13"/>
      <c r="E1356" s="13"/>
      <c r="F1356" s="13"/>
      <c r="G1356" s="14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5">
        <v>1</v>
      </c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6">
        <f>SUM(H1356:DL1356)</f>
        <v>1</v>
      </c>
    </row>
    <row r="1357" spans="1:117" x14ac:dyDescent="0.3">
      <c r="A1357" s="17" t="s">
        <v>1093</v>
      </c>
      <c r="B1357" s="13" t="s">
        <v>1094</v>
      </c>
      <c r="C1357" s="13" t="s">
        <v>126</v>
      </c>
      <c r="D1357" s="13">
        <v>4.53</v>
      </c>
      <c r="E1357" s="13">
        <f>10790.9259*B2</f>
        <v>10790.9259</v>
      </c>
      <c r="F1357" s="13">
        <f>D1357*E1357</f>
        <v>48882.894327000002</v>
      </c>
      <c r="G1357" s="14">
        <f>F1357/A1</f>
        <v>6.2671305967322963E-7</v>
      </c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8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9"/>
    </row>
    <row r="1358" spans="1:117" x14ac:dyDescent="0.3">
      <c r="A1358" s="12"/>
      <c r="B1358" s="13"/>
      <c r="C1358" s="13"/>
      <c r="D1358" s="13"/>
      <c r="E1358" s="13"/>
      <c r="F1358" s="13"/>
      <c r="G1358" s="14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20">
        <f>+$D1357*CV1356</f>
        <v>4.53</v>
      </c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21">
        <f>SUM(H1358:DL1358)</f>
        <v>4.53</v>
      </c>
    </row>
    <row r="1359" spans="1:117" x14ac:dyDescent="0.3">
      <c r="A1359" s="12"/>
      <c r="B1359" s="13"/>
      <c r="C1359" s="13"/>
      <c r="D1359" s="13"/>
      <c r="E1359" s="13"/>
      <c r="F1359" s="13"/>
      <c r="G1359" s="14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5">
        <v>1</v>
      </c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6">
        <f>SUM(H1359:DL1359)</f>
        <v>1</v>
      </c>
    </row>
    <row r="1360" spans="1:117" x14ac:dyDescent="0.3">
      <c r="A1360" s="17" t="s">
        <v>1095</v>
      </c>
      <c r="B1360" s="13" t="s">
        <v>1096</v>
      </c>
      <c r="C1360" s="13" t="s">
        <v>277</v>
      </c>
      <c r="D1360" s="13">
        <v>46.49</v>
      </c>
      <c r="E1360" s="13">
        <f>0*B2</f>
        <v>0</v>
      </c>
      <c r="F1360" s="13">
        <f>D1360*E1360</f>
        <v>0</v>
      </c>
      <c r="G1360" s="14">
        <f>F1360/A1</f>
        <v>0</v>
      </c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8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9"/>
    </row>
    <row r="1361" spans="1:117" x14ac:dyDescent="0.3">
      <c r="A1361" s="12"/>
      <c r="B1361" s="13"/>
      <c r="C1361" s="13"/>
      <c r="D1361" s="13"/>
      <c r="E1361" s="13"/>
      <c r="F1361" s="13"/>
      <c r="G1361" s="14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20">
        <f>+$D1360*CV1359</f>
        <v>46.49</v>
      </c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21">
        <f>SUM(H1361:DL1361)</f>
        <v>46.49</v>
      </c>
    </row>
    <row r="1362" spans="1:117" x14ac:dyDescent="0.3">
      <c r="A1362" s="12"/>
      <c r="B1362" s="13"/>
      <c r="C1362" s="13"/>
      <c r="D1362" s="13"/>
      <c r="E1362" s="13"/>
      <c r="F1362" s="13"/>
      <c r="G1362" s="14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5">
        <v>1</v>
      </c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6">
        <f>SUM(H1362:DL1362)</f>
        <v>1</v>
      </c>
    </row>
    <row r="1363" spans="1:117" x14ac:dyDescent="0.3">
      <c r="A1363" s="17" t="s">
        <v>1097</v>
      </c>
      <c r="B1363" s="13" t="s">
        <v>1098</v>
      </c>
      <c r="C1363" s="13" t="s">
        <v>277</v>
      </c>
      <c r="D1363" s="13">
        <v>182.27</v>
      </c>
      <c r="E1363" s="13">
        <f>0*B2</f>
        <v>0</v>
      </c>
      <c r="F1363" s="13">
        <f>D1363*E1363</f>
        <v>0</v>
      </c>
      <c r="G1363" s="14">
        <f>F1363/A1</f>
        <v>0</v>
      </c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8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9"/>
    </row>
    <row r="1364" spans="1:117" x14ac:dyDescent="0.3">
      <c r="A1364" s="12"/>
      <c r="B1364" s="13"/>
      <c r="C1364" s="13"/>
      <c r="D1364" s="13"/>
      <c r="E1364" s="13"/>
      <c r="F1364" s="13"/>
      <c r="G1364" s="14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20">
        <f>+$D1363*CW1362</f>
        <v>182.27</v>
      </c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21">
        <f>SUM(H1364:DL1364)</f>
        <v>182.27</v>
      </c>
    </row>
    <row r="1365" spans="1:117" x14ac:dyDescent="0.3">
      <c r="A1365" s="12"/>
      <c r="B1365" s="13"/>
      <c r="C1365" s="13"/>
      <c r="D1365" s="13"/>
      <c r="E1365" s="13"/>
      <c r="F1365" s="13"/>
      <c r="G1365" s="14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5">
        <v>1</v>
      </c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6">
        <f>SUM(H1365:DL1365)</f>
        <v>1</v>
      </c>
    </row>
    <row r="1366" spans="1:117" x14ac:dyDescent="0.3">
      <c r="A1366" s="17" t="s">
        <v>1099</v>
      </c>
      <c r="B1366" s="13" t="s">
        <v>1100</v>
      </c>
      <c r="C1366" s="13" t="s">
        <v>319</v>
      </c>
      <c r="D1366" s="13">
        <v>1</v>
      </c>
      <c r="E1366" s="13">
        <f>34810394.7294*B2</f>
        <v>34810394.729400001</v>
      </c>
      <c r="F1366" s="13">
        <f>D1366*E1366</f>
        <v>34810394.729400001</v>
      </c>
      <c r="G1366" s="14">
        <f>F1366/A1</f>
        <v>4.4629372482237021E-4</v>
      </c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8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9"/>
    </row>
    <row r="1367" spans="1:117" x14ac:dyDescent="0.3">
      <c r="A1367" s="12"/>
      <c r="B1367" s="13"/>
      <c r="C1367" s="13"/>
      <c r="D1367" s="13"/>
      <c r="E1367" s="13"/>
      <c r="F1367" s="13"/>
      <c r="G1367" s="14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20">
        <f>+$D1366*CW1365</f>
        <v>1</v>
      </c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21">
        <f>SUM(H1367:DL1367)</f>
        <v>1</v>
      </c>
    </row>
    <row r="1368" spans="1:117" x14ac:dyDescent="0.3">
      <c r="A1368" s="12"/>
      <c r="B1368" s="13"/>
      <c r="C1368" s="13"/>
      <c r="D1368" s="13"/>
      <c r="E1368" s="13"/>
      <c r="F1368" s="13"/>
      <c r="G1368" s="14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5">
        <v>1</v>
      </c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6">
        <f>SUM(H1368:DL1368)</f>
        <v>1</v>
      </c>
    </row>
    <row r="1369" spans="1:117" x14ac:dyDescent="0.3">
      <c r="A1369" s="17" t="s">
        <v>1101</v>
      </c>
      <c r="B1369" s="13" t="s">
        <v>1102</v>
      </c>
      <c r="C1369" s="13" t="s">
        <v>319</v>
      </c>
      <c r="D1369" s="13">
        <v>1</v>
      </c>
      <c r="E1369" s="13">
        <f>582958.0007*B2</f>
        <v>582958.00069999998</v>
      </c>
      <c r="F1369" s="13">
        <f>D1369*E1369</f>
        <v>582958.00069999998</v>
      </c>
      <c r="G1369" s="14">
        <f>F1369/A1</f>
        <v>7.4739312659293492E-6</v>
      </c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8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9"/>
    </row>
    <row r="1370" spans="1:117" x14ac:dyDescent="0.3">
      <c r="A1370" s="12"/>
      <c r="B1370" s="13"/>
      <c r="C1370" s="13"/>
      <c r="D1370" s="13"/>
      <c r="E1370" s="13"/>
      <c r="F1370" s="13"/>
      <c r="G1370" s="14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20">
        <f>+$D1369*CW1368</f>
        <v>1</v>
      </c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21">
        <f>SUM(H1370:DL1370)</f>
        <v>1</v>
      </c>
    </row>
    <row r="1371" spans="1:117" x14ac:dyDescent="0.3">
      <c r="A1371" s="12"/>
      <c r="B1371" s="13"/>
      <c r="C1371" s="13"/>
      <c r="D1371" s="13"/>
      <c r="E1371" s="13"/>
      <c r="F1371" s="13"/>
      <c r="G1371" s="14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5">
        <v>0.5</v>
      </c>
      <c r="CW1371" s="15">
        <v>0.5</v>
      </c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6">
        <f>SUM(H1371:DL1371)</f>
        <v>1</v>
      </c>
    </row>
    <row r="1372" spans="1:117" x14ac:dyDescent="0.3">
      <c r="A1372" s="17" t="s">
        <v>1103</v>
      </c>
      <c r="B1372" s="13" t="s">
        <v>1104</v>
      </c>
      <c r="C1372" s="13" t="s">
        <v>319</v>
      </c>
      <c r="D1372" s="13">
        <v>1</v>
      </c>
      <c r="E1372" s="13">
        <f>5003464.784*B2</f>
        <v>5003464.784</v>
      </c>
      <c r="F1372" s="13">
        <f>D1372*E1372</f>
        <v>5003464.784</v>
      </c>
      <c r="G1372" s="14">
        <f>F1372/A1</f>
        <v>6.4147934915054751E-5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8"/>
      <c r="CW1372" s="18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9"/>
    </row>
    <row r="1373" spans="1:117" x14ac:dyDescent="0.3">
      <c r="A1373" s="12"/>
      <c r="B1373" s="13"/>
      <c r="C1373" s="13"/>
      <c r="D1373" s="13"/>
      <c r="E1373" s="13"/>
      <c r="F1373" s="13"/>
      <c r="G1373" s="14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20">
        <f>+$D1372*CV1371</f>
        <v>0.5</v>
      </c>
      <c r="CW1373" s="20">
        <f>+$D1372*CW1371</f>
        <v>0.5</v>
      </c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21">
        <f>SUM(H1373:DL1373)</f>
        <v>1</v>
      </c>
    </row>
    <row r="1374" spans="1:117" x14ac:dyDescent="0.3">
      <c r="A1374" s="8" t="s">
        <v>1105</v>
      </c>
      <c r="B1374" s="9" t="s">
        <v>1106</v>
      </c>
      <c r="C1374" s="9"/>
      <c r="D1374" s="9"/>
      <c r="E1374" s="9"/>
      <c r="F1374" s="9"/>
      <c r="G1374" s="10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  <c r="DC1374" s="9"/>
      <c r="DD1374" s="9"/>
      <c r="DE1374" s="9"/>
      <c r="DF1374" s="9"/>
      <c r="DG1374" s="9"/>
      <c r="DH1374" s="9"/>
      <c r="DI1374" s="9"/>
      <c r="DJ1374" s="9"/>
      <c r="DK1374" s="9"/>
      <c r="DL1374" s="9"/>
      <c r="DM1374" s="11"/>
    </row>
    <row r="1375" spans="1:117" x14ac:dyDescent="0.3">
      <c r="A1375" s="12"/>
      <c r="B1375" s="13"/>
      <c r="C1375" s="13"/>
      <c r="D1375" s="13"/>
      <c r="E1375" s="13"/>
      <c r="F1375" s="13"/>
      <c r="G1375" s="14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5">
        <v>1</v>
      </c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6">
        <f>SUM(H1375:DL1375)</f>
        <v>1</v>
      </c>
    </row>
    <row r="1376" spans="1:117" x14ac:dyDescent="0.3">
      <c r="A1376" s="17" t="s">
        <v>1107</v>
      </c>
      <c r="B1376" s="13" t="s">
        <v>1108</v>
      </c>
      <c r="C1376" s="13" t="s">
        <v>319</v>
      </c>
      <c r="D1376" s="13">
        <v>1</v>
      </c>
      <c r="E1376" s="13">
        <f>5581980.6*B2</f>
        <v>5581980.5999999996</v>
      </c>
      <c r="F1376" s="13">
        <f>D1376*E1376</f>
        <v>5581980.5999999996</v>
      </c>
      <c r="G1376" s="14">
        <f>F1376/A1</f>
        <v>7.1564914251207856E-5</v>
      </c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8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9"/>
    </row>
    <row r="1377" spans="1:117" x14ac:dyDescent="0.3">
      <c r="A1377" s="12"/>
      <c r="B1377" s="13"/>
      <c r="C1377" s="13"/>
      <c r="D1377" s="13"/>
      <c r="E1377" s="13"/>
      <c r="F1377" s="13"/>
      <c r="G1377" s="14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20">
        <f>+$D1376*CW1375</f>
        <v>1</v>
      </c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21">
        <f>SUM(H1377:DL1377)</f>
        <v>1</v>
      </c>
    </row>
    <row r="1378" spans="1:117" x14ac:dyDescent="0.3">
      <c r="A1378" s="12"/>
      <c r="B1378" s="13"/>
      <c r="C1378" s="13"/>
      <c r="D1378" s="13"/>
      <c r="E1378" s="13"/>
      <c r="F1378" s="13"/>
      <c r="G1378" s="14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5">
        <v>1</v>
      </c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6">
        <f>SUM(H1378:DL1378)</f>
        <v>1</v>
      </c>
    </row>
    <row r="1379" spans="1:117" x14ac:dyDescent="0.3">
      <c r="A1379" s="17" t="s">
        <v>1109</v>
      </c>
      <c r="B1379" s="13" t="s">
        <v>1110</v>
      </c>
      <c r="C1379" s="13" t="s">
        <v>319</v>
      </c>
      <c r="D1379" s="13">
        <v>1</v>
      </c>
      <c r="E1379" s="13">
        <f>12748118.3604*B2</f>
        <v>12748118.360400001</v>
      </c>
      <c r="F1379" s="13">
        <f>D1379*E1379</f>
        <v>12748118.360400001</v>
      </c>
      <c r="G1379" s="14">
        <f>F1379/A1</f>
        <v>1.6343983662828827E-4</v>
      </c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8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9"/>
    </row>
    <row r="1380" spans="1:117" x14ac:dyDescent="0.3">
      <c r="A1380" s="12"/>
      <c r="B1380" s="13"/>
      <c r="C1380" s="13"/>
      <c r="D1380" s="13"/>
      <c r="E1380" s="13"/>
      <c r="F1380" s="13"/>
      <c r="G1380" s="14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20">
        <f>+$D1379*DC1378</f>
        <v>1</v>
      </c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21">
        <f>SUM(H1380:DL1380)</f>
        <v>1</v>
      </c>
    </row>
    <row r="1381" spans="1:117" x14ac:dyDescent="0.3">
      <c r="A1381" s="12"/>
      <c r="B1381" s="13"/>
      <c r="C1381" s="13"/>
      <c r="D1381" s="13"/>
      <c r="E1381" s="13"/>
      <c r="F1381" s="13"/>
      <c r="G1381" s="14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5">
        <v>1</v>
      </c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6">
        <f>SUM(H1381:DL1381)</f>
        <v>1</v>
      </c>
    </row>
    <row r="1382" spans="1:117" x14ac:dyDescent="0.3">
      <c r="A1382" s="17" t="s">
        <v>1111</v>
      </c>
      <c r="B1382" s="13" t="s">
        <v>1112</v>
      </c>
      <c r="C1382" s="13" t="s">
        <v>319</v>
      </c>
      <c r="D1382" s="13">
        <v>1</v>
      </c>
      <c r="E1382" s="13">
        <f>16998212.8514*B2</f>
        <v>16998212.851399999</v>
      </c>
      <c r="F1382" s="13">
        <f>D1382*E1382</f>
        <v>16998212.851399999</v>
      </c>
      <c r="G1382" s="14">
        <f>F1382/A1</f>
        <v>2.1792903492610138E-4</v>
      </c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8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9"/>
    </row>
    <row r="1383" spans="1:117" x14ac:dyDescent="0.3">
      <c r="A1383" s="12"/>
      <c r="B1383" s="13"/>
      <c r="C1383" s="13"/>
      <c r="D1383" s="13"/>
      <c r="E1383" s="13"/>
      <c r="F1383" s="13"/>
      <c r="G1383" s="14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20">
        <f>+$D1382*DC1381</f>
        <v>1</v>
      </c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21">
        <f>SUM(H1383:DL1383)</f>
        <v>1</v>
      </c>
    </row>
    <row r="1384" spans="1:117" x14ac:dyDescent="0.3">
      <c r="A1384" s="12"/>
      <c r="B1384" s="13"/>
      <c r="C1384" s="13"/>
      <c r="D1384" s="13"/>
      <c r="E1384" s="13"/>
      <c r="F1384" s="13"/>
      <c r="G1384" s="14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5">
        <v>1</v>
      </c>
      <c r="DE1384" s="13"/>
      <c r="DF1384" s="13"/>
      <c r="DG1384" s="13"/>
      <c r="DH1384" s="13"/>
      <c r="DI1384" s="13"/>
      <c r="DJ1384" s="13"/>
      <c r="DK1384" s="13"/>
      <c r="DL1384" s="13"/>
      <c r="DM1384" s="16">
        <f>SUM(H1384:DL1384)</f>
        <v>1</v>
      </c>
    </row>
    <row r="1385" spans="1:117" x14ac:dyDescent="0.3">
      <c r="A1385" s="17" t="s">
        <v>1113</v>
      </c>
      <c r="B1385" s="13" t="s">
        <v>1114</v>
      </c>
      <c r="C1385" s="13" t="s">
        <v>319</v>
      </c>
      <c r="D1385" s="13">
        <v>1</v>
      </c>
      <c r="E1385" s="13">
        <f>18605224.1685*B2</f>
        <v>18605224.168499999</v>
      </c>
      <c r="F1385" s="13">
        <f>D1385*E1385</f>
        <v>18605224.168499999</v>
      </c>
      <c r="G1385" s="14">
        <f>F1385/A1</f>
        <v>2.3853204940253687E-4</v>
      </c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8"/>
      <c r="DE1385" s="13"/>
      <c r="DF1385" s="13"/>
      <c r="DG1385" s="13"/>
      <c r="DH1385" s="13"/>
      <c r="DI1385" s="13"/>
      <c r="DJ1385" s="13"/>
      <c r="DK1385" s="13"/>
      <c r="DL1385" s="13"/>
      <c r="DM1385" s="19"/>
    </row>
    <row r="1386" spans="1:117" x14ac:dyDescent="0.3">
      <c r="A1386" s="12"/>
      <c r="B1386" s="13"/>
      <c r="C1386" s="13"/>
      <c r="D1386" s="13"/>
      <c r="E1386" s="13"/>
      <c r="F1386" s="13"/>
      <c r="G1386" s="14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20">
        <f>+$D1385*DD1384</f>
        <v>1</v>
      </c>
      <c r="DE1386" s="13"/>
      <c r="DF1386" s="13"/>
      <c r="DG1386" s="13"/>
      <c r="DH1386" s="13"/>
      <c r="DI1386" s="13"/>
      <c r="DJ1386" s="13"/>
      <c r="DK1386" s="13"/>
      <c r="DL1386" s="13"/>
      <c r="DM1386" s="21">
        <f>SUM(H1386:DL1386)</f>
        <v>1</v>
      </c>
    </row>
    <row r="1387" spans="1:117" x14ac:dyDescent="0.3">
      <c r="A1387" s="12"/>
      <c r="B1387" s="13"/>
      <c r="C1387" s="13"/>
      <c r="D1387" s="13"/>
      <c r="E1387" s="13"/>
      <c r="F1387" s="13"/>
      <c r="G1387" s="14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5">
        <v>1</v>
      </c>
      <c r="DE1387" s="13"/>
      <c r="DF1387" s="13"/>
      <c r="DG1387" s="13"/>
      <c r="DH1387" s="13"/>
      <c r="DI1387" s="13"/>
      <c r="DJ1387" s="13"/>
      <c r="DK1387" s="13"/>
      <c r="DL1387" s="13"/>
      <c r="DM1387" s="16">
        <f>SUM(H1387:DL1387)</f>
        <v>1</v>
      </c>
    </row>
    <row r="1388" spans="1:117" x14ac:dyDescent="0.3">
      <c r="A1388" s="17" t="s">
        <v>1115</v>
      </c>
      <c r="B1388" s="13" t="s">
        <v>1116</v>
      </c>
      <c r="C1388" s="13" t="s">
        <v>319</v>
      </c>
      <c r="D1388" s="13">
        <v>1</v>
      </c>
      <c r="E1388" s="13">
        <f>12748118.3604*B2</f>
        <v>12748118.360400001</v>
      </c>
      <c r="F1388" s="13">
        <f>D1388*E1388</f>
        <v>12748118.360400001</v>
      </c>
      <c r="G1388" s="14">
        <f>F1388/A1</f>
        <v>1.6343983662828827E-4</v>
      </c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8"/>
      <c r="DE1388" s="13"/>
      <c r="DF1388" s="13"/>
      <c r="DG1388" s="13"/>
      <c r="DH1388" s="13"/>
      <c r="DI1388" s="13"/>
      <c r="DJ1388" s="13"/>
      <c r="DK1388" s="13"/>
      <c r="DL1388" s="13"/>
      <c r="DM1388" s="19"/>
    </row>
    <row r="1389" spans="1:117" x14ac:dyDescent="0.3">
      <c r="A1389" s="12"/>
      <c r="B1389" s="13"/>
      <c r="C1389" s="13"/>
      <c r="D1389" s="13"/>
      <c r="E1389" s="13"/>
      <c r="F1389" s="13"/>
      <c r="G1389" s="14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20">
        <f>+$D1388*DD1387</f>
        <v>1</v>
      </c>
      <c r="DE1389" s="13"/>
      <c r="DF1389" s="13"/>
      <c r="DG1389" s="13"/>
      <c r="DH1389" s="13"/>
      <c r="DI1389" s="13"/>
      <c r="DJ1389" s="13"/>
      <c r="DK1389" s="13"/>
      <c r="DL1389" s="13"/>
      <c r="DM1389" s="21">
        <f>SUM(H1389:DL1389)</f>
        <v>1</v>
      </c>
    </row>
    <row r="1390" spans="1:117" x14ac:dyDescent="0.3">
      <c r="A1390" s="12"/>
      <c r="B1390" s="13"/>
      <c r="C1390" s="13"/>
      <c r="D1390" s="13"/>
      <c r="E1390" s="13"/>
      <c r="F1390" s="13"/>
      <c r="G1390" s="14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5">
        <v>1</v>
      </c>
      <c r="DE1390" s="13"/>
      <c r="DF1390" s="13"/>
      <c r="DG1390" s="13"/>
      <c r="DH1390" s="13"/>
      <c r="DI1390" s="13"/>
      <c r="DJ1390" s="13"/>
      <c r="DK1390" s="13"/>
      <c r="DL1390" s="13"/>
      <c r="DM1390" s="16">
        <f>SUM(H1390:DL1390)</f>
        <v>1</v>
      </c>
    </row>
    <row r="1391" spans="1:117" x14ac:dyDescent="0.3">
      <c r="A1391" s="17" t="s">
        <v>1117</v>
      </c>
      <c r="B1391" s="13" t="s">
        <v>1118</v>
      </c>
      <c r="C1391" s="13" t="s">
        <v>280</v>
      </c>
      <c r="D1391" s="13">
        <v>2</v>
      </c>
      <c r="E1391" s="13">
        <f>2124688.3915*B2</f>
        <v>2124688.3914999999</v>
      </c>
      <c r="F1391" s="13">
        <f>D1391*E1391</f>
        <v>4249376.7829999998</v>
      </c>
      <c r="G1391" s="14">
        <f>F1391/A1</f>
        <v>5.447999677685524E-5</v>
      </c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8"/>
      <c r="DE1391" s="13"/>
      <c r="DF1391" s="13"/>
      <c r="DG1391" s="13"/>
      <c r="DH1391" s="13"/>
      <c r="DI1391" s="13"/>
      <c r="DJ1391" s="13"/>
      <c r="DK1391" s="13"/>
      <c r="DL1391" s="13"/>
      <c r="DM1391" s="19"/>
    </row>
    <row r="1392" spans="1:117" x14ac:dyDescent="0.3">
      <c r="A1392" s="12"/>
      <c r="B1392" s="13"/>
      <c r="C1392" s="13"/>
      <c r="D1392" s="13"/>
      <c r="E1392" s="13"/>
      <c r="F1392" s="13"/>
      <c r="G1392" s="14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20">
        <f>+$D1391*DD1390</f>
        <v>2</v>
      </c>
      <c r="DE1392" s="13"/>
      <c r="DF1392" s="13"/>
      <c r="DG1392" s="13"/>
      <c r="DH1392" s="13"/>
      <c r="DI1392" s="13"/>
      <c r="DJ1392" s="13"/>
      <c r="DK1392" s="13"/>
      <c r="DL1392" s="13"/>
      <c r="DM1392" s="21">
        <f>SUM(H1392:DL1392)</f>
        <v>2</v>
      </c>
    </row>
    <row r="1393" spans="1:117" x14ac:dyDescent="0.3">
      <c r="A1393" s="12"/>
      <c r="B1393" s="13"/>
      <c r="C1393" s="13"/>
      <c r="D1393" s="13"/>
      <c r="E1393" s="13"/>
      <c r="F1393" s="13"/>
      <c r="G1393" s="14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5">
        <v>1</v>
      </c>
      <c r="DE1393" s="13"/>
      <c r="DF1393" s="13"/>
      <c r="DG1393" s="13"/>
      <c r="DH1393" s="13"/>
      <c r="DI1393" s="13"/>
      <c r="DJ1393" s="13"/>
      <c r="DK1393" s="13"/>
      <c r="DL1393" s="13"/>
      <c r="DM1393" s="16">
        <f>SUM(H1393:DL1393)</f>
        <v>1</v>
      </c>
    </row>
    <row r="1394" spans="1:117" x14ac:dyDescent="0.3">
      <c r="A1394" s="17" t="s">
        <v>1119</v>
      </c>
      <c r="B1394" s="13" t="s">
        <v>1120</v>
      </c>
      <c r="C1394" s="13" t="s">
        <v>280</v>
      </c>
      <c r="D1394" s="13">
        <v>1</v>
      </c>
      <c r="E1394" s="13">
        <f>4249047.9676*B2</f>
        <v>4249047.9676000001</v>
      </c>
      <c r="F1394" s="13">
        <f>D1394*E1394</f>
        <v>4249047.9676000001</v>
      </c>
      <c r="G1394" s="14">
        <f>F1394/A1</f>
        <v>5.4475781132339126E-5</v>
      </c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8"/>
      <c r="DE1394" s="13"/>
      <c r="DF1394" s="13"/>
      <c r="DG1394" s="13"/>
      <c r="DH1394" s="13"/>
      <c r="DI1394" s="13"/>
      <c r="DJ1394" s="13"/>
      <c r="DK1394" s="13"/>
      <c r="DL1394" s="13"/>
      <c r="DM1394" s="19"/>
    </row>
    <row r="1395" spans="1:117" x14ac:dyDescent="0.3">
      <c r="A1395" s="12"/>
      <c r="B1395" s="13"/>
      <c r="C1395" s="13"/>
      <c r="D1395" s="13"/>
      <c r="E1395" s="13"/>
      <c r="F1395" s="13"/>
      <c r="G1395" s="14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20">
        <f>+$D1394*DD1393</f>
        <v>1</v>
      </c>
      <c r="DE1395" s="13"/>
      <c r="DF1395" s="13"/>
      <c r="DG1395" s="13"/>
      <c r="DH1395" s="13"/>
      <c r="DI1395" s="13"/>
      <c r="DJ1395" s="13"/>
      <c r="DK1395" s="13"/>
      <c r="DL1395" s="13"/>
      <c r="DM1395" s="21">
        <f>SUM(H1395:DL1395)</f>
        <v>1</v>
      </c>
    </row>
    <row r="1396" spans="1:117" x14ac:dyDescent="0.3">
      <c r="A1396" s="12"/>
      <c r="B1396" s="13"/>
      <c r="C1396" s="13"/>
      <c r="D1396" s="13"/>
      <c r="E1396" s="13"/>
      <c r="F1396" s="13"/>
      <c r="G1396" s="14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5">
        <v>1</v>
      </c>
      <c r="DF1396" s="13"/>
      <c r="DG1396" s="13"/>
      <c r="DH1396" s="13"/>
      <c r="DI1396" s="13"/>
      <c r="DJ1396" s="13"/>
      <c r="DK1396" s="13"/>
      <c r="DL1396" s="13"/>
      <c r="DM1396" s="16">
        <f>SUM(H1396:DL1396)</f>
        <v>1</v>
      </c>
    </row>
    <row r="1397" spans="1:117" x14ac:dyDescent="0.3">
      <c r="A1397" s="17" t="s">
        <v>1121</v>
      </c>
      <c r="B1397" s="13" t="s">
        <v>1122</v>
      </c>
      <c r="C1397" s="13" t="s">
        <v>280</v>
      </c>
      <c r="D1397" s="13">
        <v>1</v>
      </c>
      <c r="E1397" s="13">
        <f>16998212.8514*B2</f>
        <v>16998212.851399999</v>
      </c>
      <c r="F1397" s="13">
        <f>D1397*E1397</f>
        <v>16998212.851399999</v>
      </c>
      <c r="G1397" s="14">
        <f>F1397/A1</f>
        <v>2.1792903492610138E-4</v>
      </c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8"/>
      <c r="DF1397" s="13"/>
      <c r="DG1397" s="13"/>
      <c r="DH1397" s="13"/>
      <c r="DI1397" s="13"/>
      <c r="DJ1397" s="13"/>
      <c r="DK1397" s="13"/>
      <c r="DL1397" s="13"/>
      <c r="DM1397" s="19"/>
    </row>
    <row r="1398" spans="1:117" x14ac:dyDescent="0.3">
      <c r="A1398" s="12"/>
      <c r="B1398" s="13"/>
      <c r="C1398" s="13"/>
      <c r="D1398" s="13"/>
      <c r="E1398" s="13"/>
      <c r="F1398" s="13"/>
      <c r="G1398" s="14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20">
        <f>+$D1397*DE1396</f>
        <v>1</v>
      </c>
      <c r="DF1398" s="13"/>
      <c r="DG1398" s="13"/>
      <c r="DH1398" s="13"/>
      <c r="DI1398" s="13"/>
      <c r="DJ1398" s="13"/>
      <c r="DK1398" s="13"/>
      <c r="DL1398" s="13"/>
      <c r="DM1398" s="21">
        <f>SUM(H1398:DL1398)</f>
        <v>1</v>
      </c>
    </row>
    <row r="1399" spans="1:117" x14ac:dyDescent="0.3">
      <c r="A1399" s="12"/>
      <c r="B1399" s="13"/>
      <c r="C1399" s="13"/>
      <c r="D1399" s="13"/>
      <c r="E1399" s="13"/>
      <c r="F1399" s="13"/>
      <c r="G1399" s="14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5">
        <v>0.25</v>
      </c>
      <c r="DC1399" s="15">
        <v>0.25</v>
      </c>
      <c r="DD1399" s="15">
        <v>0.25</v>
      </c>
      <c r="DE1399" s="15">
        <v>0.25</v>
      </c>
      <c r="DF1399" s="13"/>
      <c r="DG1399" s="13"/>
      <c r="DH1399" s="13"/>
      <c r="DI1399" s="13"/>
      <c r="DJ1399" s="13"/>
      <c r="DK1399" s="13"/>
      <c r="DL1399" s="13"/>
      <c r="DM1399" s="16">
        <f>SUM(H1399:DL1399)</f>
        <v>1</v>
      </c>
    </row>
    <row r="1400" spans="1:117" x14ac:dyDescent="0.3">
      <c r="A1400" s="17" t="s">
        <v>1123</v>
      </c>
      <c r="B1400" s="13" t="s">
        <v>1124</v>
      </c>
      <c r="C1400" s="13" t="s">
        <v>280</v>
      </c>
      <c r="D1400" s="13">
        <v>12</v>
      </c>
      <c r="E1400" s="13">
        <f>8853110.1659*B2</f>
        <v>8853110.1658999994</v>
      </c>
      <c r="F1400" s="13">
        <f>D1400*E1400</f>
        <v>106237321.99079999</v>
      </c>
      <c r="G1400" s="14">
        <f>F1400/A1</f>
        <v>1.3620371304317253E-3</v>
      </c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8"/>
      <c r="DC1400" s="18"/>
      <c r="DD1400" s="18"/>
      <c r="DE1400" s="18"/>
      <c r="DF1400" s="13"/>
      <c r="DG1400" s="13"/>
      <c r="DH1400" s="13"/>
      <c r="DI1400" s="13"/>
      <c r="DJ1400" s="13"/>
      <c r="DK1400" s="13"/>
      <c r="DL1400" s="13"/>
      <c r="DM1400" s="19"/>
    </row>
    <row r="1401" spans="1:117" x14ac:dyDescent="0.3">
      <c r="A1401" s="12"/>
      <c r="B1401" s="13"/>
      <c r="C1401" s="13"/>
      <c r="D1401" s="13"/>
      <c r="E1401" s="13"/>
      <c r="F1401" s="13"/>
      <c r="G1401" s="14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20">
        <f>+$D1400*DB1399</f>
        <v>3</v>
      </c>
      <c r="DC1401" s="20">
        <f>+$D1400*DC1399</f>
        <v>3</v>
      </c>
      <c r="DD1401" s="20">
        <f>+$D1400*DD1399</f>
        <v>3</v>
      </c>
      <c r="DE1401" s="20">
        <f>+$D1400*DE1399</f>
        <v>3</v>
      </c>
      <c r="DF1401" s="13"/>
      <c r="DG1401" s="13"/>
      <c r="DH1401" s="13"/>
      <c r="DI1401" s="13"/>
      <c r="DJ1401" s="13"/>
      <c r="DK1401" s="13"/>
      <c r="DL1401" s="13"/>
      <c r="DM1401" s="21">
        <f>SUM(H1401:DL1401)</f>
        <v>12</v>
      </c>
    </row>
    <row r="1402" spans="1:117" x14ac:dyDescent="0.3">
      <c r="A1402" s="12"/>
      <c r="B1402" s="13"/>
      <c r="C1402" s="13"/>
      <c r="D1402" s="13"/>
      <c r="E1402" s="13"/>
      <c r="F1402" s="13"/>
      <c r="G1402" s="14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5">
        <v>1</v>
      </c>
      <c r="DE1402" s="13"/>
      <c r="DF1402" s="13"/>
      <c r="DG1402" s="13"/>
      <c r="DH1402" s="13"/>
      <c r="DI1402" s="13"/>
      <c r="DJ1402" s="13"/>
      <c r="DK1402" s="13"/>
      <c r="DL1402" s="13"/>
      <c r="DM1402" s="16">
        <f>SUM(H1402:DL1402)</f>
        <v>1</v>
      </c>
    </row>
    <row r="1403" spans="1:117" x14ac:dyDescent="0.3">
      <c r="A1403" s="17" t="s">
        <v>1125</v>
      </c>
      <c r="B1403" s="13" t="s">
        <v>1126</v>
      </c>
      <c r="C1403" s="13" t="s">
        <v>319</v>
      </c>
      <c r="D1403" s="13">
        <v>1</v>
      </c>
      <c r="E1403" s="13">
        <f>21757886.864*B2</f>
        <v>21757886.864</v>
      </c>
      <c r="F1403" s="13">
        <f>D1403*E1403</f>
        <v>21757886.864</v>
      </c>
      <c r="G1403" s="14">
        <f>F1403/A1</f>
        <v>2.7895140081813285E-4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8"/>
      <c r="DE1403" s="13"/>
      <c r="DF1403" s="13"/>
      <c r="DG1403" s="13"/>
      <c r="DH1403" s="13"/>
      <c r="DI1403" s="13"/>
      <c r="DJ1403" s="13"/>
      <c r="DK1403" s="13"/>
      <c r="DL1403" s="13"/>
      <c r="DM1403" s="19"/>
    </row>
    <row r="1404" spans="1:117" x14ac:dyDescent="0.3">
      <c r="A1404" s="12"/>
      <c r="B1404" s="13"/>
      <c r="C1404" s="13"/>
      <c r="D1404" s="13"/>
      <c r="E1404" s="13"/>
      <c r="F1404" s="13"/>
      <c r="G1404" s="14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20">
        <f>+$D1403*DD1402</f>
        <v>1</v>
      </c>
      <c r="DE1404" s="13"/>
      <c r="DF1404" s="13"/>
      <c r="DG1404" s="13"/>
      <c r="DH1404" s="13"/>
      <c r="DI1404" s="13"/>
      <c r="DJ1404" s="13"/>
      <c r="DK1404" s="13"/>
      <c r="DL1404" s="13"/>
      <c r="DM1404" s="21">
        <f>SUM(H1404:DL1404)</f>
        <v>1</v>
      </c>
    </row>
    <row r="1405" spans="1:117" x14ac:dyDescent="0.3">
      <c r="A1405" s="12"/>
      <c r="B1405" s="13"/>
      <c r="C1405" s="13"/>
      <c r="D1405" s="13"/>
      <c r="E1405" s="13"/>
      <c r="F1405" s="13"/>
      <c r="G1405" s="14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5">
        <v>0.5</v>
      </c>
      <c r="DC1405" s="15">
        <v>0.5</v>
      </c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6">
        <f>SUM(H1405:DL1405)</f>
        <v>1</v>
      </c>
    </row>
    <row r="1406" spans="1:117" x14ac:dyDescent="0.3">
      <c r="A1406" s="17" t="s">
        <v>1127</v>
      </c>
      <c r="B1406" s="13" t="s">
        <v>1128</v>
      </c>
      <c r="C1406" s="13" t="s">
        <v>319</v>
      </c>
      <c r="D1406" s="13">
        <v>1</v>
      </c>
      <c r="E1406" s="13">
        <f>42494446.8509*B2</f>
        <v>42494446.850900002</v>
      </c>
      <c r="F1406" s="13">
        <f>D1406*E1406</f>
        <v>42494446.850900002</v>
      </c>
      <c r="G1406" s="14">
        <f>F1406/A1</f>
        <v>5.4480867329369947E-4</v>
      </c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8"/>
      <c r="DC1406" s="18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9"/>
    </row>
    <row r="1407" spans="1:117" x14ac:dyDescent="0.3">
      <c r="A1407" s="12"/>
      <c r="B1407" s="13"/>
      <c r="C1407" s="13"/>
      <c r="D1407" s="13"/>
      <c r="E1407" s="13"/>
      <c r="F1407" s="13"/>
      <c r="G1407" s="14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20">
        <f>+$D1406*DB1405</f>
        <v>0.5</v>
      </c>
      <c r="DC1407" s="20">
        <f>+$D1406*DC1405</f>
        <v>0.5</v>
      </c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21">
        <f>SUM(H1407:DL1407)</f>
        <v>1</v>
      </c>
    </row>
    <row r="1408" spans="1:117" x14ac:dyDescent="0.3">
      <c r="A1408" s="12"/>
      <c r="B1408" s="13"/>
      <c r="C1408" s="13"/>
      <c r="D1408" s="13"/>
      <c r="E1408" s="13"/>
      <c r="F1408" s="13"/>
      <c r="G1408" s="14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5">
        <v>1</v>
      </c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6">
        <f>SUM(H1408:DL1408)</f>
        <v>1</v>
      </c>
    </row>
    <row r="1409" spans="1:117" x14ac:dyDescent="0.3">
      <c r="A1409" s="17" t="s">
        <v>1129</v>
      </c>
      <c r="B1409" s="13" t="s">
        <v>1130</v>
      </c>
      <c r="C1409" s="13" t="s">
        <v>319</v>
      </c>
      <c r="D1409" s="13">
        <v>1</v>
      </c>
      <c r="E1409" s="13">
        <f>8499068.8486*B2</f>
        <v>8499068.8486000001</v>
      </c>
      <c r="F1409" s="13">
        <f>D1409*E1409</f>
        <v>8499068.8486000001</v>
      </c>
      <c r="G1409" s="14">
        <f>F1409/A1</f>
        <v>1.089640356982199E-4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8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9"/>
    </row>
    <row r="1410" spans="1:117" x14ac:dyDescent="0.3">
      <c r="A1410" s="12"/>
      <c r="B1410" s="13"/>
      <c r="C1410" s="13"/>
      <c r="D1410" s="13"/>
      <c r="E1410" s="13"/>
      <c r="F1410" s="13"/>
      <c r="G1410" s="14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20">
        <f>+$D1409*DC1408</f>
        <v>1</v>
      </c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21">
        <f>SUM(H1410:DL1410)</f>
        <v>1</v>
      </c>
    </row>
    <row r="1411" spans="1:117" x14ac:dyDescent="0.3">
      <c r="A1411" s="12"/>
      <c r="B1411" s="13"/>
      <c r="C1411" s="13"/>
      <c r="D1411" s="13"/>
      <c r="E1411" s="13"/>
      <c r="F1411" s="13"/>
      <c r="G1411" s="14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5">
        <v>1</v>
      </c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6">
        <f>SUM(H1411:DL1411)</f>
        <v>1</v>
      </c>
    </row>
    <row r="1412" spans="1:117" x14ac:dyDescent="0.3">
      <c r="A1412" s="17" t="s">
        <v>1131</v>
      </c>
      <c r="B1412" s="13" t="s">
        <v>1132</v>
      </c>
      <c r="C1412" s="13" t="s">
        <v>319</v>
      </c>
      <c r="D1412" s="13">
        <v>1</v>
      </c>
      <c r="E1412" s="13">
        <f>12748118.3604*B2</f>
        <v>12748118.360400001</v>
      </c>
      <c r="F1412" s="13">
        <f>D1412*E1412</f>
        <v>12748118.360400001</v>
      </c>
      <c r="G1412" s="14">
        <f>F1412/A1</f>
        <v>1.6343983662828827E-4</v>
      </c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8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9"/>
    </row>
    <row r="1413" spans="1:117" x14ac:dyDescent="0.3">
      <c r="A1413" s="12"/>
      <c r="B1413" s="13"/>
      <c r="C1413" s="13"/>
      <c r="D1413" s="13"/>
      <c r="E1413" s="13"/>
      <c r="F1413" s="13"/>
      <c r="G1413" s="14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20">
        <f>+$D1412*DC1411</f>
        <v>1</v>
      </c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21">
        <f>SUM(H1413:DL1413)</f>
        <v>1</v>
      </c>
    </row>
    <row r="1414" spans="1:117" x14ac:dyDescent="0.3">
      <c r="A1414" s="12"/>
      <c r="B1414" s="13"/>
      <c r="C1414" s="13"/>
      <c r="D1414" s="13"/>
      <c r="E1414" s="13"/>
      <c r="F1414" s="13"/>
      <c r="G1414" s="14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5">
        <v>1</v>
      </c>
      <c r="DE1414" s="13"/>
      <c r="DF1414" s="13"/>
      <c r="DG1414" s="13"/>
      <c r="DH1414" s="13"/>
      <c r="DI1414" s="13"/>
      <c r="DJ1414" s="13"/>
      <c r="DK1414" s="13"/>
      <c r="DL1414" s="13"/>
      <c r="DM1414" s="16">
        <f>SUM(H1414:DL1414)</f>
        <v>1</v>
      </c>
    </row>
    <row r="1415" spans="1:117" x14ac:dyDescent="0.3">
      <c r="A1415" s="17" t="s">
        <v>1133</v>
      </c>
      <c r="B1415" s="13" t="s">
        <v>1134</v>
      </c>
      <c r="C1415" s="13" t="s">
        <v>319</v>
      </c>
      <c r="D1415" s="13">
        <v>1</v>
      </c>
      <c r="E1415" s="13">
        <f>4249047.9676*B2</f>
        <v>4249047.9676000001</v>
      </c>
      <c r="F1415" s="13">
        <f>D1415*E1415</f>
        <v>4249047.9676000001</v>
      </c>
      <c r="G1415" s="14">
        <f>F1415/A1</f>
        <v>5.4475781132339126E-5</v>
      </c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8"/>
      <c r="DE1415" s="13"/>
      <c r="DF1415" s="13"/>
      <c r="DG1415" s="13"/>
      <c r="DH1415" s="13"/>
      <c r="DI1415" s="13"/>
      <c r="DJ1415" s="13"/>
      <c r="DK1415" s="13"/>
      <c r="DL1415" s="13"/>
      <c r="DM1415" s="19"/>
    </row>
    <row r="1416" spans="1:117" x14ac:dyDescent="0.3">
      <c r="A1416" s="12"/>
      <c r="B1416" s="13"/>
      <c r="C1416" s="13"/>
      <c r="D1416" s="13"/>
      <c r="E1416" s="13"/>
      <c r="F1416" s="13"/>
      <c r="G1416" s="14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20">
        <f>+$D1415*DD1414</f>
        <v>1</v>
      </c>
      <c r="DE1416" s="13"/>
      <c r="DF1416" s="13"/>
      <c r="DG1416" s="13"/>
      <c r="DH1416" s="13"/>
      <c r="DI1416" s="13"/>
      <c r="DJ1416" s="13"/>
      <c r="DK1416" s="13"/>
      <c r="DL1416" s="13"/>
      <c r="DM1416" s="21">
        <f>SUM(H1416:DL1416)</f>
        <v>1</v>
      </c>
    </row>
    <row r="1417" spans="1:117" x14ac:dyDescent="0.3">
      <c r="A1417" s="12"/>
      <c r="B1417" s="13"/>
      <c r="C1417" s="13"/>
      <c r="D1417" s="13"/>
      <c r="E1417" s="13"/>
      <c r="F1417" s="13"/>
      <c r="G1417" s="14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5">
        <v>1</v>
      </c>
      <c r="DE1417" s="13"/>
      <c r="DF1417" s="13"/>
      <c r="DG1417" s="13"/>
      <c r="DH1417" s="13"/>
      <c r="DI1417" s="13"/>
      <c r="DJ1417" s="13"/>
      <c r="DK1417" s="13"/>
      <c r="DL1417" s="13"/>
      <c r="DM1417" s="16">
        <f>SUM(H1417:DL1417)</f>
        <v>1</v>
      </c>
    </row>
    <row r="1418" spans="1:117" x14ac:dyDescent="0.3">
      <c r="A1418" s="17" t="s">
        <v>1135</v>
      </c>
      <c r="B1418" s="13" t="s">
        <v>1136</v>
      </c>
      <c r="C1418" s="13" t="s">
        <v>319</v>
      </c>
      <c r="D1418" s="13">
        <v>1</v>
      </c>
      <c r="E1418" s="13">
        <f>4249047.9676*B2</f>
        <v>4249047.9676000001</v>
      </c>
      <c r="F1418" s="13">
        <f>D1418*E1418</f>
        <v>4249047.9676000001</v>
      </c>
      <c r="G1418" s="14">
        <f>F1418/A1</f>
        <v>5.4475781132339126E-5</v>
      </c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8"/>
      <c r="DE1418" s="13"/>
      <c r="DF1418" s="13"/>
      <c r="DG1418" s="13"/>
      <c r="DH1418" s="13"/>
      <c r="DI1418" s="13"/>
      <c r="DJ1418" s="13"/>
      <c r="DK1418" s="13"/>
      <c r="DL1418" s="13"/>
      <c r="DM1418" s="19"/>
    </row>
    <row r="1419" spans="1:117" x14ac:dyDescent="0.3">
      <c r="A1419" s="12"/>
      <c r="B1419" s="13"/>
      <c r="C1419" s="13"/>
      <c r="D1419" s="13"/>
      <c r="E1419" s="13"/>
      <c r="F1419" s="13"/>
      <c r="G1419" s="14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20">
        <f>+$D1418*DD1417</f>
        <v>1</v>
      </c>
      <c r="DE1419" s="13"/>
      <c r="DF1419" s="13"/>
      <c r="DG1419" s="13"/>
      <c r="DH1419" s="13"/>
      <c r="DI1419" s="13"/>
      <c r="DJ1419" s="13"/>
      <c r="DK1419" s="13"/>
      <c r="DL1419" s="13"/>
      <c r="DM1419" s="21">
        <f>SUM(H1419:DL1419)</f>
        <v>1</v>
      </c>
    </row>
    <row r="1420" spans="1:117" x14ac:dyDescent="0.3">
      <c r="A1420" s="12"/>
      <c r="B1420" s="13"/>
      <c r="C1420" s="13"/>
      <c r="D1420" s="13"/>
      <c r="E1420" s="13"/>
      <c r="F1420" s="13"/>
      <c r="G1420" s="14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5">
        <v>0.25</v>
      </c>
      <c r="DC1420" s="15">
        <v>0.25</v>
      </c>
      <c r="DD1420" s="15">
        <v>0.25</v>
      </c>
      <c r="DE1420" s="15">
        <v>0.25</v>
      </c>
      <c r="DF1420" s="13"/>
      <c r="DG1420" s="13"/>
      <c r="DH1420" s="13"/>
      <c r="DI1420" s="13"/>
      <c r="DJ1420" s="13"/>
      <c r="DK1420" s="13"/>
      <c r="DL1420" s="13"/>
      <c r="DM1420" s="16">
        <f>SUM(H1420:DL1420)</f>
        <v>1</v>
      </c>
    </row>
    <row r="1421" spans="1:117" x14ac:dyDescent="0.3">
      <c r="A1421" s="17" t="s">
        <v>1137</v>
      </c>
      <c r="B1421" s="13" t="s">
        <v>1138</v>
      </c>
      <c r="C1421" s="13" t="s">
        <v>319</v>
      </c>
      <c r="D1421" s="13">
        <v>1</v>
      </c>
      <c r="E1421" s="13">
        <f>106237203.3761*B2</f>
        <v>106237203.3761</v>
      </c>
      <c r="F1421" s="13">
        <f>D1421*E1421</f>
        <v>106237203.3761</v>
      </c>
      <c r="G1421" s="14">
        <f>F1421/A1</f>
        <v>1.3620356097079102E-3</v>
      </c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8"/>
      <c r="DC1421" s="18"/>
      <c r="DD1421" s="18"/>
      <c r="DE1421" s="18"/>
      <c r="DF1421" s="13"/>
      <c r="DG1421" s="13"/>
      <c r="DH1421" s="13"/>
      <c r="DI1421" s="13"/>
      <c r="DJ1421" s="13"/>
      <c r="DK1421" s="13"/>
      <c r="DL1421" s="13"/>
      <c r="DM1421" s="19"/>
    </row>
    <row r="1422" spans="1:117" x14ac:dyDescent="0.3">
      <c r="A1422" s="12"/>
      <c r="B1422" s="13"/>
      <c r="C1422" s="13"/>
      <c r="D1422" s="13"/>
      <c r="E1422" s="13"/>
      <c r="F1422" s="13"/>
      <c r="G1422" s="14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20">
        <f>+$D1421*DB1420</f>
        <v>0.25</v>
      </c>
      <c r="DC1422" s="20">
        <f>+$D1421*DC1420</f>
        <v>0.25</v>
      </c>
      <c r="DD1422" s="20">
        <f>+$D1421*DD1420</f>
        <v>0.25</v>
      </c>
      <c r="DE1422" s="20">
        <f>+$D1421*DE1420</f>
        <v>0.25</v>
      </c>
      <c r="DF1422" s="13"/>
      <c r="DG1422" s="13"/>
      <c r="DH1422" s="13"/>
      <c r="DI1422" s="13"/>
      <c r="DJ1422" s="13"/>
      <c r="DK1422" s="13"/>
      <c r="DL1422" s="13"/>
      <c r="DM1422" s="21">
        <f>SUM(H1422:DL1422)</f>
        <v>1</v>
      </c>
    </row>
    <row r="1423" spans="1:117" x14ac:dyDescent="0.3">
      <c r="A1423" s="12"/>
      <c r="B1423" s="13"/>
      <c r="C1423" s="13"/>
      <c r="D1423" s="13"/>
      <c r="E1423" s="13"/>
      <c r="F1423" s="13"/>
      <c r="G1423" s="14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5">
        <v>1</v>
      </c>
      <c r="DF1423" s="13"/>
      <c r="DG1423" s="13"/>
      <c r="DH1423" s="13"/>
      <c r="DI1423" s="13"/>
      <c r="DJ1423" s="13"/>
      <c r="DK1423" s="13"/>
      <c r="DL1423" s="13"/>
      <c r="DM1423" s="16">
        <f>SUM(H1423:DL1423)</f>
        <v>1</v>
      </c>
    </row>
    <row r="1424" spans="1:117" x14ac:dyDescent="0.3">
      <c r="A1424" s="17" t="s">
        <v>1139</v>
      </c>
      <c r="B1424" s="13" t="s">
        <v>1140</v>
      </c>
      <c r="C1424" s="13" t="s">
        <v>280</v>
      </c>
      <c r="D1424" s="13">
        <v>2</v>
      </c>
      <c r="E1424" s="13">
        <f>10623549.3119*B2</f>
        <v>10623549.311899999</v>
      </c>
      <c r="F1424" s="13">
        <f>D1424*E1424</f>
        <v>21247098.623799998</v>
      </c>
      <c r="G1424" s="14">
        <f>F1424/A1</f>
        <v>2.7240273660198734E-4</v>
      </c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8"/>
      <c r="DF1424" s="13"/>
      <c r="DG1424" s="13"/>
      <c r="DH1424" s="13"/>
      <c r="DI1424" s="13"/>
      <c r="DJ1424" s="13"/>
      <c r="DK1424" s="13"/>
      <c r="DL1424" s="13"/>
      <c r="DM1424" s="19"/>
    </row>
    <row r="1425" spans="1:117" x14ac:dyDescent="0.3">
      <c r="A1425" s="12"/>
      <c r="B1425" s="13"/>
      <c r="C1425" s="13"/>
      <c r="D1425" s="13"/>
      <c r="E1425" s="13"/>
      <c r="F1425" s="13"/>
      <c r="G1425" s="14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20">
        <f>+$D1424*DE1423</f>
        <v>2</v>
      </c>
      <c r="DF1425" s="13"/>
      <c r="DG1425" s="13"/>
      <c r="DH1425" s="13"/>
      <c r="DI1425" s="13"/>
      <c r="DJ1425" s="13"/>
      <c r="DK1425" s="13"/>
      <c r="DL1425" s="13"/>
      <c r="DM1425" s="21">
        <f>SUM(H1425:DL1425)</f>
        <v>2</v>
      </c>
    </row>
    <row r="1426" spans="1:117" x14ac:dyDescent="0.3">
      <c r="A1426" s="8" t="s">
        <v>1141</v>
      </c>
      <c r="B1426" s="9" t="s">
        <v>1142</v>
      </c>
      <c r="C1426" s="9"/>
      <c r="D1426" s="9"/>
      <c r="E1426" s="9"/>
      <c r="F1426" s="9"/>
      <c r="G1426" s="10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  <c r="DC1426" s="9"/>
      <c r="DD1426" s="9"/>
      <c r="DE1426" s="9"/>
      <c r="DF1426" s="9"/>
      <c r="DG1426" s="9"/>
      <c r="DH1426" s="9"/>
      <c r="DI1426" s="9"/>
      <c r="DJ1426" s="9"/>
      <c r="DK1426" s="9"/>
      <c r="DL1426" s="9"/>
      <c r="DM1426" s="11"/>
    </row>
    <row r="1427" spans="1:117" x14ac:dyDescent="0.3">
      <c r="A1427" s="12"/>
      <c r="B1427" s="13"/>
      <c r="C1427" s="13"/>
      <c r="D1427" s="13"/>
      <c r="E1427" s="13"/>
      <c r="F1427" s="13"/>
      <c r="G1427" s="14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5">
        <v>1</v>
      </c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6">
        <f>SUM(H1427:DL1427)</f>
        <v>1</v>
      </c>
    </row>
    <row r="1428" spans="1:117" x14ac:dyDescent="0.3">
      <c r="A1428" s="17" t="s">
        <v>1143</v>
      </c>
      <c r="B1428" s="13" t="s">
        <v>1144</v>
      </c>
      <c r="C1428" s="13" t="s">
        <v>319</v>
      </c>
      <c r="D1428" s="13">
        <v>1</v>
      </c>
      <c r="E1428" s="13">
        <f>48326950.0884*B2</f>
        <v>48326950.088399999</v>
      </c>
      <c r="F1428" s="13">
        <f>D1428*E1428</f>
        <v>48326950.088399999</v>
      </c>
      <c r="G1428" s="14">
        <f>F1428/A1</f>
        <v>6.1958546382241957E-4</v>
      </c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8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9"/>
    </row>
    <row r="1429" spans="1:117" x14ac:dyDescent="0.3">
      <c r="A1429" s="12"/>
      <c r="B1429" s="13"/>
      <c r="C1429" s="13"/>
      <c r="D1429" s="13"/>
      <c r="E1429" s="13"/>
      <c r="F1429" s="13"/>
      <c r="G1429" s="14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20">
        <f>+$D1428*CW1427</f>
        <v>1</v>
      </c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21">
        <f>SUM(H1429:DL1429)</f>
        <v>1</v>
      </c>
    </row>
    <row r="1430" spans="1:117" x14ac:dyDescent="0.3">
      <c r="A1430" s="12"/>
      <c r="B1430" s="13"/>
      <c r="C1430" s="13"/>
      <c r="D1430" s="13"/>
      <c r="E1430" s="13"/>
      <c r="F1430" s="13"/>
      <c r="G1430" s="14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5">
        <v>0.5</v>
      </c>
      <c r="CX1430" s="15">
        <v>0.25</v>
      </c>
      <c r="CY1430" s="15">
        <v>0.25</v>
      </c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6">
        <f>SUM(H1430:DL1430)</f>
        <v>1</v>
      </c>
    </row>
    <row r="1431" spans="1:117" x14ac:dyDescent="0.3">
      <c r="A1431" s="17" t="s">
        <v>1145</v>
      </c>
      <c r="B1431" s="13" t="s">
        <v>1146</v>
      </c>
      <c r="C1431" s="13" t="s">
        <v>319</v>
      </c>
      <c r="D1431" s="13">
        <v>1</v>
      </c>
      <c r="E1431" s="13">
        <f>70609428.3365*B2</f>
        <v>70609428.336500004</v>
      </c>
      <c r="F1431" s="13">
        <f>D1431*E1431</f>
        <v>70609428.336500004</v>
      </c>
      <c r="G1431" s="14">
        <f>F1431/A1</f>
        <v>9.0526249486220524E-4</v>
      </c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8"/>
      <c r="CX1431" s="18"/>
      <c r="CY1431" s="18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9"/>
    </row>
    <row r="1432" spans="1:117" x14ac:dyDescent="0.3">
      <c r="A1432" s="12"/>
      <c r="B1432" s="13"/>
      <c r="C1432" s="13"/>
      <c r="D1432" s="13"/>
      <c r="E1432" s="13"/>
      <c r="F1432" s="13"/>
      <c r="G1432" s="14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20">
        <f>+$D1431*CW1430</f>
        <v>0.5</v>
      </c>
      <c r="CX1432" s="20">
        <f>+$D1431*CX1430</f>
        <v>0.25</v>
      </c>
      <c r="CY1432" s="20">
        <f>+$D1431*CY1430</f>
        <v>0.25</v>
      </c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21">
        <f>SUM(H1432:DL1432)</f>
        <v>1</v>
      </c>
    </row>
    <row r="1433" spans="1:117" x14ac:dyDescent="0.3">
      <c r="A1433" s="12"/>
      <c r="B1433" s="13"/>
      <c r="C1433" s="13"/>
      <c r="D1433" s="13"/>
      <c r="E1433" s="13"/>
      <c r="F1433" s="13"/>
      <c r="G1433" s="14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5">
        <v>1</v>
      </c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6">
        <f>SUM(H1433:DL1433)</f>
        <v>1</v>
      </c>
    </row>
    <row r="1434" spans="1:117" x14ac:dyDescent="0.3">
      <c r="A1434" s="17" t="s">
        <v>1147</v>
      </c>
      <c r="B1434" s="13" t="s">
        <v>1148</v>
      </c>
      <c r="C1434" s="13" t="s">
        <v>319</v>
      </c>
      <c r="D1434" s="13">
        <v>1</v>
      </c>
      <c r="E1434" s="13">
        <f>41887814.6852*B2</f>
        <v>41887814.685199998</v>
      </c>
      <c r="F1434" s="13">
        <f>D1434*E1434</f>
        <v>41887814.685199998</v>
      </c>
      <c r="G1434" s="14">
        <f>F1434/A1</f>
        <v>5.3703122259450759E-4</v>
      </c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8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9"/>
    </row>
    <row r="1435" spans="1:117" x14ac:dyDescent="0.3">
      <c r="A1435" s="12"/>
      <c r="B1435" s="13"/>
      <c r="C1435" s="13"/>
      <c r="D1435" s="13"/>
      <c r="E1435" s="13"/>
      <c r="F1435" s="13"/>
      <c r="G1435" s="14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20">
        <f>+$D1434*CX1433</f>
        <v>1</v>
      </c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21">
        <f>SUM(H1435:DL1435)</f>
        <v>1</v>
      </c>
    </row>
    <row r="1436" spans="1:117" x14ac:dyDescent="0.3">
      <c r="A1436" s="12"/>
      <c r="B1436" s="13"/>
      <c r="C1436" s="13"/>
      <c r="D1436" s="13"/>
      <c r="E1436" s="13"/>
      <c r="F1436" s="13"/>
      <c r="G1436" s="14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5">
        <v>0.5</v>
      </c>
      <c r="CX1436" s="15">
        <v>0.5</v>
      </c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6">
        <f>SUM(H1436:DL1436)</f>
        <v>1</v>
      </c>
    </row>
    <row r="1437" spans="1:117" x14ac:dyDescent="0.3">
      <c r="A1437" s="17" t="s">
        <v>1149</v>
      </c>
      <c r="B1437" s="13" t="s">
        <v>1150</v>
      </c>
      <c r="C1437" s="13" t="s">
        <v>280</v>
      </c>
      <c r="D1437" s="13">
        <v>1</v>
      </c>
      <c r="E1437" s="13">
        <f>54208041.271*B2</f>
        <v>54208041.270999998</v>
      </c>
      <c r="F1437" s="13">
        <f>D1437*E1437</f>
        <v>54208041.270999998</v>
      </c>
      <c r="G1437" s="14">
        <f>F1437/A1</f>
        <v>6.9498518595443551E-4</v>
      </c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8"/>
      <c r="CX1437" s="18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9"/>
    </row>
    <row r="1438" spans="1:117" x14ac:dyDescent="0.3">
      <c r="A1438" s="12"/>
      <c r="B1438" s="13"/>
      <c r="C1438" s="13"/>
      <c r="D1438" s="13"/>
      <c r="E1438" s="13"/>
      <c r="F1438" s="13"/>
      <c r="G1438" s="14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20">
        <f>+$D1437*CW1436</f>
        <v>0.5</v>
      </c>
      <c r="CX1438" s="20">
        <f>+$D1437*CX1436</f>
        <v>0.5</v>
      </c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21">
        <f>SUM(H1438:DL1438)</f>
        <v>1</v>
      </c>
    </row>
    <row r="1439" spans="1:117" x14ac:dyDescent="0.3">
      <c r="A1439" s="12"/>
      <c r="B1439" s="13"/>
      <c r="C1439" s="13"/>
      <c r="D1439" s="13"/>
      <c r="E1439" s="13"/>
      <c r="F1439" s="13"/>
      <c r="G1439" s="14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5">
        <v>0.33</v>
      </c>
      <c r="CX1439" s="15">
        <v>0.33</v>
      </c>
      <c r="CY1439" s="15">
        <v>0.34</v>
      </c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6">
        <f>SUM(H1439:DL1439)</f>
        <v>1</v>
      </c>
    </row>
    <row r="1440" spans="1:117" x14ac:dyDescent="0.3">
      <c r="A1440" s="17" t="s">
        <v>1151</v>
      </c>
      <c r="B1440" s="13" t="s">
        <v>1152</v>
      </c>
      <c r="C1440" s="13" t="s">
        <v>319</v>
      </c>
      <c r="D1440" s="13">
        <v>1</v>
      </c>
      <c r="E1440" s="13">
        <f>51262713.7206*B2</f>
        <v>51262713.720600002</v>
      </c>
      <c r="F1440" s="13">
        <f>D1440*E1440</f>
        <v>51262713.720600002</v>
      </c>
      <c r="G1440" s="14">
        <f>F1440/A1</f>
        <v>6.5722401681205336E-4</v>
      </c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8"/>
      <c r="CX1440" s="18"/>
      <c r="CY1440" s="18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9"/>
    </row>
    <row r="1441" spans="1:117" x14ac:dyDescent="0.3">
      <c r="A1441" s="12"/>
      <c r="B1441" s="13"/>
      <c r="C1441" s="13"/>
      <c r="D1441" s="13"/>
      <c r="E1441" s="13"/>
      <c r="F1441" s="13"/>
      <c r="G1441" s="14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20">
        <f>+$D1440*CW1439</f>
        <v>0.33</v>
      </c>
      <c r="CX1441" s="20">
        <f>+$D1440*CX1439</f>
        <v>0.33</v>
      </c>
      <c r="CY1441" s="20">
        <f>+$D1440*CY1439</f>
        <v>0.34</v>
      </c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21">
        <f>SUM(H1441:DL1441)</f>
        <v>1</v>
      </c>
    </row>
    <row r="1442" spans="1:117" x14ac:dyDescent="0.3">
      <c r="A1442" s="12"/>
      <c r="B1442" s="13"/>
      <c r="C1442" s="13"/>
      <c r="D1442" s="13"/>
      <c r="E1442" s="13"/>
      <c r="F1442" s="13"/>
      <c r="G1442" s="14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5">
        <v>0.33</v>
      </c>
      <c r="CX1442" s="15">
        <v>0.33</v>
      </c>
      <c r="CY1442" s="15">
        <v>0.34</v>
      </c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6">
        <f>SUM(H1442:DL1442)</f>
        <v>1</v>
      </c>
    </row>
    <row r="1443" spans="1:117" x14ac:dyDescent="0.3">
      <c r="A1443" s="17" t="s">
        <v>1153</v>
      </c>
      <c r="B1443" s="13" t="s">
        <v>1154</v>
      </c>
      <c r="C1443" s="13" t="s">
        <v>319</v>
      </c>
      <c r="D1443" s="13">
        <v>1</v>
      </c>
      <c r="E1443" s="13">
        <f>152339822.1211*B2</f>
        <v>152339822.12110001</v>
      </c>
      <c r="F1443" s="13">
        <f>D1443*E1443</f>
        <v>152339822.12110001</v>
      </c>
      <c r="G1443" s="14">
        <f>F1443/A1</f>
        <v>1.953103582470491E-3</v>
      </c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8"/>
      <c r="CX1443" s="18"/>
      <c r="CY1443" s="18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9"/>
    </row>
    <row r="1444" spans="1:117" x14ac:dyDescent="0.3">
      <c r="A1444" s="12"/>
      <c r="B1444" s="13"/>
      <c r="C1444" s="13"/>
      <c r="D1444" s="13"/>
      <c r="E1444" s="13"/>
      <c r="F1444" s="13"/>
      <c r="G1444" s="14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20">
        <f>+$D1443*CW1442</f>
        <v>0.33</v>
      </c>
      <c r="CX1444" s="20">
        <f>+$D1443*CX1442</f>
        <v>0.33</v>
      </c>
      <c r="CY1444" s="20">
        <f>+$D1443*CY1442</f>
        <v>0.34</v>
      </c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21">
        <f>SUM(H1444:DL1444)</f>
        <v>1</v>
      </c>
    </row>
    <row r="1445" spans="1:117" x14ac:dyDescent="0.3">
      <c r="A1445" s="12"/>
      <c r="B1445" s="13"/>
      <c r="C1445" s="13"/>
      <c r="D1445" s="13"/>
      <c r="E1445" s="13"/>
      <c r="F1445" s="13"/>
      <c r="G1445" s="14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5">
        <v>0.31578899999999999</v>
      </c>
      <c r="CX1445" s="15">
        <v>0.34210499999999999</v>
      </c>
      <c r="CY1445" s="15">
        <v>0.34210499999999999</v>
      </c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6">
        <f>SUM(H1445:DL1445)</f>
        <v>0.99999899999999997</v>
      </c>
    </row>
    <row r="1446" spans="1:117" x14ac:dyDescent="0.3">
      <c r="A1446" s="17" t="s">
        <v>1155</v>
      </c>
      <c r="B1446" s="13" t="s">
        <v>1156</v>
      </c>
      <c r="C1446" s="13" t="s">
        <v>280</v>
      </c>
      <c r="D1446" s="13">
        <v>38</v>
      </c>
      <c r="E1446" s="13">
        <f>2408069.662*B2</f>
        <v>2408069.662</v>
      </c>
      <c r="F1446" s="13">
        <f>D1446*E1446</f>
        <v>91506647.156000003</v>
      </c>
      <c r="G1446" s="14">
        <f>F1446/A1</f>
        <v>1.1731795264810978E-3</v>
      </c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8"/>
      <c r="CX1446" s="18"/>
      <c r="CY1446" s="18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9"/>
    </row>
    <row r="1447" spans="1:117" x14ac:dyDescent="0.3">
      <c r="A1447" s="12"/>
      <c r="B1447" s="13"/>
      <c r="C1447" s="13"/>
      <c r="D1447" s="13"/>
      <c r="E1447" s="13"/>
      <c r="F1447" s="13"/>
      <c r="G1447" s="14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20">
        <f>+$D1446*CW1445</f>
        <v>11.999981999999999</v>
      </c>
      <c r="CX1447" s="20">
        <f>+$D1446*CX1445</f>
        <v>12.99999</v>
      </c>
      <c r="CY1447" s="20">
        <f>+$D1446*CY1445</f>
        <v>12.99999</v>
      </c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21">
        <f>SUM(H1447:DL1447)</f>
        <v>37.999961999999996</v>
      </c>
    </row>
    <row r="1448" spans="1:117" x14ac:dyDescent="0.3">
      <c r="A1448" s="8" t="s">
        <v>1157</v>
      </c>
      <c r="B1448" s="9" t="s">
        <v>1158</v>
      </c>
      <c r="C1448" s="9"/>
      <c r="D1448" s="9"/>
      <c r="E1448" s="9"/>
      <c r="F1448" s="9"/>
      <c r="G1448" s="10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  <c r="DC1448" s="9"/>
      <c r="DD1448" s="9"/>
      <c r="DE1448" s="9"/>
      <c r="DF1448" s="9"/>
      <c r="DG1448" s="9"/>
      <c r="DH1448" s="9"/>
      <c r="DI1448" s="9"/>
      <c r="DJ1448" s="9"/>
      <c r="DK1448" s="9"/>
      <c r="DL1448" s="9"/>
      <c r="DM1448" s="11"/>
    </row>
    <row r="1449" spans="1:117" x14ac:dyDescent="0.3">
      <c r="A1449" s="12"/>
      <c r="B1449" s="13"/>
      <c r="C1449" s="13"/>
      <c r="D1449" s="13"/>
      <c r="E1449" s="13"/>
      <c r="F1449" s="13"/>
      <c r="G1449" s="14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5">
        <v>0.2</v>
      </c>
      <c r="DD1449" s="15">
        <v>0.2</v>
      </c>
      <c r="DE1449" s="15">
        <v>0.15</v>
      </c>
      <c r="DF1449" s="15">
        <v>0.15</v>
      </c>
      <c r="DG1449" s="15">
        <v>0.15</v>
      </c>
      <c r="DH1449" s="15">
        <v>0.15</v>
      </c>
      <c r="DI1449" s="13"/>
      <c r="DJ1449" s="13"/>
      <c r="DK1449" s="13"/>
      <c r="DL1449" s="13"/>
      <c r="DM1449" s="16">
        <f>SUM(H1449:DL1449)</f>
        <v>1</v>
      </c>
    </row>
    <row r="1450" spans="1:117" x14ac:dyDescent="0.3">
      <c r="A1450" s="17" t="s">
        <v>1159</v>
      </c>
      <c r="B1450" s="13" t="s">
        <v>1160</v>
      </c>
      <c r="C1450" s="13" t="s">
        <v>319</v>
      </c>
      <c r="D1450" s="13">
        <v>1</v>
      </c>
      <c r="E1450" s="13">
        <f>15549000*B2</f>
        <v>15549000</v>
      </c>
      <c r="F1450" s="13">
        <f>D1450*E1450</f>
        <v>15549000</v>
      </c>
      <c r="G1450" s="14">
        <f>F1450/A1</f>
        <v>1.9934910767909709E-4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8"/>
      <c r="DD1450" s="18"/>
      <c r="DE1450" s="18"/>
      <c r="DF1450" s="18"/>
      <c r="DG1450" s="18"/>
      <c r="DH1450" s="18"/>
      <c r="DI1450" s="13"/>
      <c r="DJ1450" s="13"/>
      <c r="DK1450" s="13"/>
      <c r="DL1450" s="13"/>
      <c r="DM1450" s="19"/>
    </row>
    <row r="1451" spans="1:117" x14ac:dyDescent="0.3">
      <c r="A1451" s="12"/>
      <c r="B1451" s="13"/>
      <c r="C1451" s="13"/>
      <c r="D1451" s="13"/>
      <c r="E1451" s="13"/>
      <c r="F1451" s="13"/>
      <c r="G1451" s="14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20">
        <f t="shared" ref="DC1451:DH1451" si="38">+$D1450*DC1449</f>
        <v>0.2</v>
      </c>
      <c r="DD1451" s="20">
        <f t="shared" si="38"/>
        <v>0.2</v>
      </c>
      <c r="DE1451" s="20">
        <f t="shared" si="38"/>
        <v>0.15</v>
      </c>
      <c r="DF1451" s="20">
        <f t="shared" si="38"/>
        <v>0.15</v>
      </c>
      <c r="DG1451" s="20">
        <f t="shared" si="38"/>
        <v>0.15</v>
      </c>
      <c r="DH1451" s="20">
        <f t="shared" si="38"/>
        <v>0.15</v>
      </c>
      <c r="DI1451" s="13"/>
      <c r="DJ1451" s="13"/>
      <c r="DK1451" s="13"/>
      <c r="DL1451" s="13"/>
      <c r="DM1451" s="21">
        <f>SUM(H1451:DL1451)</f>
        <v>1</v>
      </c>
    </row>
    <row r="1452" spans="1:117" x14ac:dyDescent="0.3">
      <c r="A1452" s="12"/>
      <c r="B1452" s="13"/>
      <c r="C1452" s="13"/>
      <c r="D1452" s="13"/>
      <c r="E1452" s="13"/>
      <c r="F1452" s="13"/>
      <c r="G1452" s="14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5">
        <v>1</v>
      </c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6">
        <f>SUM(H1452:DL1452)</f>
        <v>1</v>
      </c>
    </row>
    <row r="1453" spans="1:117" x14ac:dyDescent="0.3">
      <c r="A1453" s="17" t="s">
        <v>1161</v>
      </c>
      <c r="B1453" s="13" t="s">
        <v>1162</v>
      </c>
      <c r="C1453" s="13" t="s">
        <v>319</v>
      </c>
      <c r="D1453" s="13">
        <v>1</v>
      </c>
      <c r="E1453" s="13">
        <f>0*B2</f>
        <v>0</v>
      </c>
      <c r="F1453" s="13">
        <f>D1453*E1453</f>
        <v>0</v>
      </c>
      <c r="G1453" s="14">
        <f>F1453/A1</f>
        <v>0</v>
      </c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8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9"/>
    </row>
    <row r="1454" spans="1:117" x14ac:dyDescent="0.3">
      <c r="A1454" s="12"/>
      <c r="B1454" s="13"/>
      <c r="C1454" s="13"/>
      <c r="D1454" s="13"/>
      <c r="E1454" s="13"/>
      <c r="F1454" s="13"/>
      <c r="G1454" s="14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20">
        <f>+$D1453*DB1452</f>
        <v>1</v>
      </c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21">
        <f>SUM(H1454:DL1454)</f>
        <v>1</v>
      </c>
    </row>
    <row r="1455" spans="1:117" x14ac:dyDescent="0.3">
      <c r="A1455" s="8" t="s">
        <v>1163</v>
      </c>
      <c r="B1455" s="9" t="s">
        <v>1164</v>
      </c>
      <c r="C1455" s="9"/>
      <c r="D1455" s="9"/>
      <c r="E1455" s="9"/>
      <c r="F1455" s="9"/>
      <c r="G1455" s="10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9"/>
      <c r="DI1455" s="9"/>
      <c r="DJ1455" s="9"/>
      <c r="DK1455" s="9"/>
      <c r="DL1455" s="9"/>
      <c r="DM1455" s="11"/>
    </row>
    <row r="1456" spans="1:117" x14ac:dyDescent="0.3">
      <c r="A1456" s="12"/>
      <c r="B1456" s="13"/>
      <c r="C1456" s="13"/>
      <c r="D1456" s="13"/>
      <c r="E1456" s="13"/>
      <c r="F1456" s="13"/>
      <c r="G1456" s="14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5">
        <v>1</v>
      </c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6">
        <f>SUM(H1456:DL1456)</f>
        <v>1</v>
      </c>
    </row>
    <row r="1457" spans="1:117" x14ac:dyDescent="0.3">
      <c r="A1457" s="17" t="s">
        <v>1165</v>
      </c>
      <c r="B1457" s="13" t="s">
        <v>1166</v>
      </c>
      <c r="C1457" s="13" t="s">
        <v>135</v>
      </c>
      <c r="D1457" s="13">
        <v>1001</v>
      </c>
      <c r="E1457" s="13">
        <f>9921.8436*B2</f>
        <v>9921.8436000000002</v>
      </c>
      <c r="F1457" s="13">
        <f>D1457*E1457</f>
        <v>9931765.4436000008</v>
      </c>
      <c r="G1457" s="14">
        <f>F1457/A1</f>
        <v>1.2733221293071914E-4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8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9"/>
    </row>
    <row r="1458" spans="1:117" x14ac:dyDescent="0.3">
      <c r="A1458" s="12"/>
      <c r="B1458" s="13"/>
      <c r="C1458" s="13"/>
      <c r="D1458" s="13"/>
      <c r="E1458" s="13"/>
      <c r="F1458" s="13"/>
      <c r="G1458" s="14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20">
        <f>+$D1457*BF1456</f>
        <v>1001</v>
      </c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21">
        <f>SUM(H1458:DL1458)</f>
        <v>1001</v>
      </c>
    </row>
    <row r="1459" spans="1:117" x14ac:dyDescent="0.3">
      <c r="A1459" s="12"/>
      <c r="B1459" s="13"/>
      <c r="C1459" s="13"/>
      <c r="D1459" s="13"/>
      <c r="E1459" s="13"/>
      <c r="F1459" s="13"/>
      <c r="G1459" s="14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5">
        <v>1</v>
      </c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6">
        <f>SUM(H1459:DL1459)</f>
        <v>1</v>
      </c>
    </row>
    <row r="1460" spans="1:117" x14ac:dyDescent="0.3">
      <c r="A1460" s="17" t="s">
        <v>1167</v>
      </c>
      <c r="B1460" s="13" t="s">
        <v>1168</v>
      </c>
      <c r="C1460" s="13" t="s">
        <v>135</v>
      </c>
      <c r="D1460" s="13">
        <v>2002</v>
      </c>
      <c r="E1460" s="13">
        <f>20164.0163*B2</f>
        <v>20164.016299999999</v>
      </c>
      <c r="F1460" s="13">
        <f>D1460*E1460</f>
        <v>40368360.632600002</v>
      </c>
      <c r="G1460" s="14">
        <f>F1460/A1</f>
        <v>5.1755075378331732E-4</v>
      </c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8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9"/>
    </row>
    <row r="1461" spans="1:117" x14ac:dyDescent="0.3">
      <c r="A1461" s="12"/>
      <c r="B1461" s="13"/>
      <c r="C1461" s="13"/>
      <c r="D1461" s="13"/>
      <c r="E1461" s="13"/>
      <c r="F1461" s="13"/>
      <c r="G1461" s="14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20">
        <f>+$D1460*BF1459</f>
        <v>2002</v>
      </c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21">
        <f>SUM(H1461:DL1461)</f>
        <v>2002</v>
      </c>
    </row>
    <row r="1462" spans="1:117" x14ac:dyDescent="0.3">
      <c r="A1462" s="12"/>
      <c r="B1462" s="13"/>
      <c r="C1462" s="13"/>
      <c r="D1462" s="13"/>
      <c r="E1462" s="13"/>
      <c r="F1462" s="13"/>
      <c r="G1462" s="14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5">
        <v>0.8</v>
      </c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5">
        <v>0.2</v>
      </c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6">
        <f>SUM(H1462:DL1462)</f>
        <v>1</v>
      </c>
    </row>
    <row r="1463" spans="1:117" x14ac:dyDescent="0.3">
      <c r="A1463" s="17" t="s">
        <v>1169</v>
      </c>
      <c r="B1463" s="13" t="s">
        <v>1170</v>
      </c>
      <c r="C1463" s="13" t="s">
        <v>135</v>
      </c>
      <c r="D1463" s="13">
        <v>1488</v>
      </c>
      <c r="E1463" s="13">
        <f>18422.8242*B2</f>
        <v>18422.824199999999</v>
      </c>
      <c r="F1463" s="13">
        <f>D1463*E1463</f>
        <v>27413162.409599997</v>
      </c>
      <c r="G1463" s="14">
        <f>F1463/A1</f>
        <v>3.5145600778287519E-4</v>
      </c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8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8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9"/>
    </row>
    <row r="1464" spans="1:117" x14ac:dyDescent="0.3">
      <c r="A1464" s="12"/>
      <c r="B1464" s="13"/>
      <c r="C1464" s="13"/>
      <c r="D1464" s="13"/>
      <c r="E1464" s="13"/>
      <c r="F1464" s="13"/>
      <c r="G1464" s="14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20">
        <f>+$D1463*BF1462</f>
        <v>1190.4000000000001</v>
      </c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20">
        <f>+$D1463*CV1462</f>
        <v>297.60000000000002</v>
      </c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21">
        <f>SUM(H1464:DL1464)</f>
        <v>1488</v>
      </c>
    </row>
    <row r="1465" spans="1:117" x14ac:dyDescent="0.3">
      <c r="A1465" s="12"/>
      <c r="B1465" s="13"/>
      <c r="C1465" s="13"/>
      <c r="D1465" s="13"/>
      <c r="E1465" s="13"/>
      <c r="F1465" s="13"/>
      <c r="G1465" s="14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5">
        <v>1</v>
      </c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6">
        <f>SUM(H1465:DL1465)</f>
        <v>1</v>
      </c>
    </row>
    <row r="1466" spans="1:117" x14ac:dyDescent="0.3">
      <c r="A1466" s="17" t="s">
        <v>1171</v>
      </c>
      <c r="B1466" s="13" t="s">
        <v>1172</v>
      </c>
      <c r="C1466" s="13" t="s">
        <v>135</v>
      </c>
      <c r="D1466" s="13">
        <v>558</v>
      </c>
      <c r="E1466" s="13">
        <f>19888.7972*B2</f>
        <v>19888.797200000001</v>
      </c>
      <c r="F1466" s="13">
        <f>D1466*E1466</f>
        <v>11097948.8376</v>
      </c>
      <c r="G1466" s="14">
        <f>F1466/A1</f>
        <v>1.4228350362363064E-4</v>
      </c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8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9"/>
    </row>
    <row r="1467" spans="1:117" x14ac:dyDescent="0.3">
      <c r="A1467" s="12"/>
      <c r="B1467" s="13"/>
      <c r="C1467" s="13"/>
      <c r="D1467" s="13"/>
      <c r="E1467" s="13"/>
      <c r="F1467" s="13"/>
      <c r="G1467" s="14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20">
        <f>+$D1466*CV1465</f>
        <v>558</v>
      </c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21">
        <f>SUM(H1467:DL1467)</f>
        <v>558</v>
      </c>
    </row>
    <row r="1468" spans="1:117" x14ac:dyDescent="0.3">
      <c r="A1468" s="12"/>
      <c r="B1468" s="13"/>
      <c r="C1468" s="13"/>
      <c r="D1468" s="13"/>
      <c r="E1468" s="13"/>
      <c r="F1468" s="13"/>
      <c r="G1468" s="14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5">
        <v>0.2</v>
      </c>
      <c r="CV1468" s="15">
        <v>0.2</v>
      </c>
      <c r="CW1468" s="15">
        <v>0.2</v>
      </c>
      <c r="CX1468" s="15">
        <v>0.2</v>
      </c>
      <c r="CY1468" s="15">
        <v>0.2</v>
      </c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6">
        <f>SUM(H1468:DL1468)</f>
        <v>1</v>
      </c>
    </row>
    <row r="1469" spans="1:117" x14ac:dyDescent="0.3">
      <c r="A1469" s="17" t="s">
        <v>1173</v>
      </c>
      <c r="B1469" s="13" t="s">
        <v>1174</v>
      </c>
      <c r="C1469" s="13" t="s">
        <v>277</v>
      </c>
      <c r="D1469" s="13">
        <v>3720</v>
      </c>
      <c r="E1469" s="13">
        <f>53099.3519*B2</f>
        <v>53099.351900000001</v>
      </c>
      <c r="F1469" s="13">
        <f>D1469*E1469</f>
        <v>197529589.06800002</v>
      </c>
      <c r="G1469" s="14">
        <f>F1469/A1</f>
        <v>2.5324681536384678E-3</v>
      </c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8"/>
      <c r="CV1469" s="18"/>
      <c r="CW1469" s="18"/>
      <c r="CX1469" s="18"/>
      <c r="CY1469" s="18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9"/>
    </row>
    <row r="1470" spans="1:117" x14ac:dyDescent="0.3">
      <c r="A1470" s="12"/>
      <c r="B1470" s="13"/>
      <c r="C1470" s="13"/>
      <c r="D1470" s="13"/>
      <c r="E1470" s="13"/>
      <c r="F1470" s="13"/>
      <c r="G1470" s="14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20">
        <f>+$D1469*CU1468</f>
        <v>744</v>
      </c>
      <c r="CV1470" s="20">
        <f>+$D1469*CV1468</f>
        <v>744</v>
      </c>
      <c r="CW1470" s="20">
        <f>+$D1469*CW1468</f>
        <v>744</v>
      </c>
      <c r="CX1470" s="20">
        <f>+$D1469*CX1468</f>
        <v>744</v>
      </c>
      <c r="CY1470" s="20">
        <f>+$D1469*CY1468</f>
        <v>744</v>
      </c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21">
        <f>SUM(H1470:DL1470)</f>
        <v>3720</v>
      </c>
    </row>
    <row r="1471" spans="1:117" x14ac:dyDescent="0.3">
      <c r="A1471" s="12"/>
      <c r="B1471" s="13"/>
      <c r="C1471" s="13"/>
      <c r="D1471" s="13"/>
      <c r="E1471" s="13"/>
      <c r="F1471" s="13"/>
      <c r="G1471" s="14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5">
        <v>1</v>
      </c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6">
        <f>SUM(H1471:DL1471)</f>
        <v>1</v>
      </c>
    </row>
    <row r="1472" spans="1:117" x14ac:dyDescent="0.3">
      <c r="A1472" s="17" t="s">
        <v>1175</v>
      </c>
      <c r="B1472" s="13" t="s">
        <v>1176</v>
      </c>
      <c r="C1472" s="13" t="s">
        <v>277</v>
      </c>
      <c r="D1472" s="13">
        <v>715</v>
      </c>
      <c r="E1472" s="13">
        <f>31329.4248*B2</f>
        <v>31329.424800000001</v>
      </c>
      <c r="F1472" s="13">
        <f>D1472*E1472</f>
        <v>22400538.732000001</v>
      </c>
      <c r="G1472" s="14">
        <f>F1472/A1</f>
        <v>2.8719064941509119E-4</v>
      </c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8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9"/>
    </row>
    <row r="1473" spans="1:117" x14ac:dyDescent="0.3">
      <c r="A1473" s="12"/>
      <c r="B1473" s="13"/>
      <c r="C1473" s="13"/>
      <c r="D1473" s="13"/>
      <c r="E1473" s="13"/>
      <c r="F1473" s="13"/>
      <c r="G1473" s="14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20">
        <f>+$D1472*CZ1471</f>
        <v>715</v>
      </c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21">
        <f>SUM(H1473:DL1473)</f>
        <v>715</v>
      </c>
    </row>
    <row r="1474" spans="1:117" x14ac:dyDescent="0.3">
      <c r="A1474" s="12"/>
      <c r="B1474" s="13"/>
      <c r="C1474" s="13"/>
      <c r="D1474" s="13"/>
      <c r="E1474" s="13"/>
      <c r="F1474" s="13"/>
      <c r="G1474" s="14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5">
        <v>0.90022500000000005</v>
      </c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5">
        <v>4.9887000000000001E-2</v>
      </c>
      <c r="DB1474" s="15">
        <v>4.9887000000000001E-2</v>
      </c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6">
        <f>SUM(H1474:DL1474)</f>
        <v>0.99999900000000008</v>
      </c>
    </row>
    <row r="1475" spans="1:117" x14ac:dyDescent="0.3">
      <c r="A1475" s="17" t="s">
        <v>1177</v>
      </c>
      <c r="B1475" s="13" t="s">
        <v>1178</v>
      </c>
      <c r="C1475" s="13" t="s">
        <v>135</v>
      </c>
      <c r="D1475" s="13">
        <v>26000</v>
      </c>
      <c r="E1475" s="13">
        <f>17439.2403*B2</f>
        <v>17439.240300000001</v>
      </c>
      <c r="F1475" s="13">
        <f>D1475*E1475</f>
        <v>453420247.80000001</v>
      </c>
      <c r="G1475" s="14">
        <f>F1475/A1</f>
        <v>5.8131662359357569E-3</v>
      </c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8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8"/>
      <c r="DB1475" s="18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9"/>
    </row>
    <row r="1476" spans="1:117" x14ac:dyDescent="0.3">
      <c r="A1476" s="12"/>
      <c r="B1476" s="13"/>
      <c r="C1476" s="13"/>
      <c r="D1476" s="13"/>
      <c r="E1476" s="13"/>
      <c r="F1476" s="13"/>
      <c r="G1476" s="14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20">
        <f>+$D1475*BF1474</f>
        <v>23405.850000000002</v>
      </c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20">
        <f>+$D1475*DA1474</f>
        <v>1297.0620000000001</v>
      </c>
      <c r="DB1476" s="20">
        <f>+$D1475*DB1474</f>
        <v>1297.0620000000001</v>
      </c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21">
        <f>SUM(H1476:DL1476)</f>
        <v>25999.974000000006</v>
      </c>
    </row>
    <row r="1477" spans="1:117" x14ac:dyDescent="0.3">
      <c r="A1477" s="12"/>
      <c r="B1477" s="13"/>
      <c r="C1477" s="13"/>
      <c r="D1477" s="13"/>
      <c r="E1477" s="13"/>
      <c r="F1477" s="13"/>
      <c r="G1477" s="14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5">
        <v>0.5</v>
      </c>
      <c r="DB1477" s="15">
        <v>0.5</v>
      </c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6">
        <f>SUM(H1477:DL1477)</f>
        <v>1</v>
      </c>
    </row>
    <row r="1478" spans="1:117" x14ac:dyDescent="0.3">
      <c r="A1478" s="17" t="s">
        <v>1179</v>
      </c>
      <c r="B1478" s="13" t="s">
        <v>1180</v>
      </c>
      <c r="C1478" s="13" t="s">
        <v>277</v>
      </c>
      <c r="D1478" s="13">
        <v>15600</v>
      </c>
      <c r="E1478" s="13">
        <f>6430.4284*B2</f>
        <v>6430.4283999999998</v>
      </c>
      <c r="F1478" s="13">
        <f>D1478*E1478</f>
        <v>100314683.03999999</v>
      </c>
      <c r="G1478" s="14">
        <f>F1478/A1</f>
        <v>1.2861047367120364E-3</v>
      </c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8"/>
      <c r="DB1478" s="18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9"/>
    </row>
    <row r="1479" spans="1:117" x14ac:dyDescent="0.3">
      <c r="A1479" s="12"/>
      <c r="B1479" s="13"/>
      <c r="C1479" s="13"/>
      <c r="D1479" s="13"/>
      <c r="E1479" s="13"/>
      <c r="F1479" s="13"/>
      <c r="G1479" s="14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20">
        <f>+$D1478*DA1477</f>
        <v>7800</v>
      </c>
      <c r="DB1479" s="20">
        <f>+$D1478*DB1477</f>
        <v>7800</v>
      </c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21">
        <f>SUM(H1479:DL1479)</f>
        <v>15600</v>
      </c>
    </row>
    <row r="1480" spans="1:117" x14ac:dyDescent="0.3">
      <c r="A1480" s="12"/>
      <c r="B1480" s="13"/>
      <c r="C1480" s="13"/>
      <c r="D1480" s="13"/>
      <c r="E1480" s="13"/>
      <c r="F1480" s="13"/>
      <c r="G1480" s="14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5">
        <v>0.16666700000000001</v>
      </c>
      <c r="DB1480" s="15">
        <v>0.16666700000000001</v>
      </c>
      <c r="DC1480" s="15">
        <v>0.16666700000000001</v>
      </c>
      <c r="DD1480" s="15">
        <v>0.16666700000000001</v>
      </c>
      <c r="DE1480" s="15">
        <v>0.16666700000000001</v>
      </c>
      <c r="DF1480" s="15">
        <v>0.16666500000000001</v>
      </c>
      <c r="DG1480" s="13"/>
      <c r="DH1480" s="13"/>
      <c r="DI1480" s="13"/>
      <c r="DJ1480" s="13"/>
      <c r="DK1480" s="13"/>
      <c r="DL1480" s="13"/>
      <c r="DM1480" s="16">
        <f>SUM(H1480:DL1480)</f>
        <v>1</v>
      </c>
    </row>
    <row r="1481" spans="1:117" x14ac:dyDescent="0.3">
      <c r="A1481" s="17" t="s">
        <v>1181</v>
      </c>
      <c r="B1481" s="13" t="s">
        <v>1182</v>
      </c>
      <c r="C1481" s="13" t="s">
        <v>126</v>
      </c>
      <c r="D1481" s="13">
        <v>1050</v>
      </c>
      <c r="E1481" s="13">
        <f>144006.4949*B2</f>
        <v>144006.49489999999</v>
      </c>
      <c r="F1481" s="13">
        <f>D1481*E1481</f>
        <v>151206819.64499998</v>
      </c>
      <c r="G1481" s="14">
        <f>F1481/A1</f>
        <v>1.9385776944642688E-3</v>
      </c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8"/>
      <c r="DB1481" s="18"/>
      <c r="DC1481" s="18"/>
      <c r="DD1481" s="18"/>
      <c r="DE1481" s="18"/>
      <c r="DF1481" s="18"/>
      <c r="DG1481" s="13"/>
      <c r="DH1481" s="13"/>
      <c r="DI1481" s="13"/>
      <c r="DJ1481" s="13"/>
      <c r="DK1481" s="13"/>
      <c r="DL1481" s="13"/>
      <c r="DM1481" s="19"/>
    </row>
    <row r="1482" spans="1:117" x14ac:dyDescent="0.3">
      <c r="A1482" s="12"/>
      <c r="B1482" s="13"/>
      <c r="C1482" s="13"/>
      <c r="D1482" s="13"/>
      <c r="E1482" s="13"/>
      <c r="F1482" s="13"/>
      <c r="G1482" s="14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20">
        <f t="shared" ref="DA1482:DF1482" si="39">+$D1481*DA1480</f>
        <v>175.00035</v>
      </c>
      <c r="DB1482" s="20">
        <f t="shared" si="39"/>
        <v>175.00035</v>
      </c>
      <c r="DC1482" s="20">
        <f t="shared" si="39"/>
        <v>175.00035</v>
      </c>
      <c r="DD1482" s="20">
        <f t="shared" si="39"/>
        <v>175.00035</v>
      </c>
      <c r="DE1482" s="20">
        <f t="shared" si="39"/>
        <v>175.00035</v>
      </c>
      <c r="DF1482" s="20">
        <f t="shared" si="39"/>
        <v>174.99825000000001</v>
      </c>
      <c r="DG1482" s="13"/>
      <c r="DH1482" s="13"/>
      <c r="DI1482" s="13"/>
      <c r="DJ1482" s="13"/>
      <c r="DK1482" s="13"/>
      <c r="DL1482" s="13"/>
      <c r="DM1482" s="21">
        <f>SUM(H1482:DL1482)</f>
        <v>1050</v>
      </c>
    </row>
    <row r="1483" spans="1:117" x14ac:dyDescent="0.3">
      <c r="A1483" s="8" t="s">
        <v>1183</v>
      </c>
      <c r="B1483" s="9" t="s">
        <v>1184</v>
      </c>
      <c r="C1483" s="9"/>
      <c r="D1483" s="9"/>
      <c r="E1483" s="9"/>
      <c r="F1483" s="9"/>
      <c r="G1483" s="10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  <c r="DC1483" s="9"/>
      <c r="DD1483" s="9"/>
      <c r="DE1483" s="9"/>
      <c r="DF1483" s="9"/>
      <c r="DG1483" s="9"/>
      <c r="DH1483" s="9"/>
      <c r="DI1483" s="9"/>
      <c r="DJ1483" s="9"/>
      <c r="DK1483" s="9"/>
      <c r="DL1483" s="9"/>
      <c r="DM1483" s="11"/>
    </row>
    <row r="1484" spans="1:117" x14ac:dyDescent="0.3">
      <c r="A1484" s="8" t="s">
        <v>1185</v>
      </c>
      <c r="B1484" s="9" t="s">
        <v>1186</v>
      </c>
      <c r="C1484" s="9"/>
      <c r="D1484" s="9"/>
      <c r="E1484" s="9"/>
      <c r="F1484" s="9"/>
      <c r="G1484" s="10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  <c r="DC1484" s="9"/>
      <c r="DD1484" s="9"/>
      <c r="DE1484" s="9"/>
      <c r="DF1484" s="9"/>
      <c r="DG1484" s="9"/>
      <c r="DH1484" s="9"/>
      <c r="DI1484" s="9"/>
      <c r="DJ1484" s="9"/>
      <c r="DK1484" s="9"/>
      <c r="DL1484" s="9"/>
      <c r="DM1484" s="11"/>
    </row>
    <row r="1485" spans="1:117" x14ac:dyDescent="0.3">
      <c r="A1485" s="12"/>
      <c r="B1485" s="13"/>
      <c r="C1485" s="13"/>
      <c r="D1485" s="13"/>
      <c r="E1485" s="13"/>
      <c r="F1485" s="13"/>
      <c r="G1485" s="14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5">
        <v>1</v>
      </c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6">
        <f>SUM(H1485:DL1485)</f>
        <v>1</v>
      </c>
    </row>
    <row r="1486" spans="1:117" x14ac:dyDescent="0.3">
      <c r="A1486" s="17" t="s">
        <v>1187</v>
      </c>
      <c r="B1486" s="13" t="s">
        <v>1188</v>
      </c>
      <c r="C1486" s="13" t="s">
        <v>126</v>
      </c>
      <c r="D1486" s="13">
        <v>0</v>
      </c>
      <c r="E1486" s="13">
        <f>11770.7214*B2</f>
        <v>11770.7214</v>
      </c>
      <c r="F1486" s="13">
        <f>D1486*E1486</f>
        <v>0</v>
      </c>
      <c r="G1486" s="14">
        <f>F1486/A1</f>
        <v>0</v>
      </c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8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9"/>
    </row>
    <row r="1487" spans="1:117" x14ac:dyDescent="0.3">
      <c r="A1487" s="12"/>
      <c r="B1487" s="13"/>
      <c r="C1487" s="13"/>
      <c r="D1487" s="13"/>
      <c r="E1487" s="13"/>
      <c r="F1487" s="13"/>
      <c r="G1487" s="14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20">
        <f>+$D1486*BF1485</f>
        <v>0</v>
      </c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21">
        <f>SUM(H1487:DL1487)</f>
        <v>0</v>
      </c>
    </row>
    <row r="1488" spans="1:117" x14ac:dyDescent="0.3">
      <c r="A1488" s="12"/>
      <c r="B1488" s="13"/>
      <c r="C1488" s="13"/>
      <c r="D1488" s="13"/>
      <c r="E1488" s="13"/>
      <c r="F1488" s="13"/>
      <c r="G1488" s="14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5">
        <v>1</v>
      </c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6">
        <f>SUM(H1488:DL1488)</f>
        <v>1</v>
      </c>
    </row>
    <row r="1489" spans="1:117" x14ac:dyDescent="0.3">
      <c r="A1489" s="17" t="s">
        <v>1189</v>
      </c>
      <c r="B1489" s="13" t="s">
        <v>1190</v>
      </c>
      <c r="C1489" s="13" t="s">
        <v>347</v>
      </c>
      <c r="D1489" s="13">
        <v>0</v>
      </c>
      <c r="E1489" s="13">
        <f>14674.5391*B2</f>
        <v>14674.5391</v>
      </c>
      <c r="F1489" s="13">
        <f>D1489*E1489</f>
        <v>0</v>
      </c>
      <c r="G1489" s="14">
        <f>F1489/A1</f>
        <v>0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8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9"/>
    </row>
    <row r="1490" spans="1:117" x14ac:dyDescent="0.3">
      <c r="A1490" s="12"/>
      <c r="B1490" s="13"/>
      <c r="C1490" s="13"/>
      <c r="D1490" s="13"/>
      <c r="E1490" s="13"/>
      <c r="F1490" s="13"/>
      <c r="G1490" s="14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20">
        <f>+$D1489*BF1488</f>
        <v>0</v>
      </c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21">
        <f>SUM(H1490:DL1490)</f>
        <v>0</v>
      </c>
    </row>
    <row r="1491" spans="1:117" x14ac:dyDescent="0.3">
      <c r="A1491" s="12"/>
      <c r="B1491" s="13"/>
      <c r="C1491" s="13"/>
      <c r="D1491" s="13"/>
      <c r="E1491" s="13"/>
      <c r="F1491" s="13"/>
      <c r="G1491" s="14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5">
        <v>1</v>
      </c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6">
        <f>SUM(H1491:DL1491)</f>
        <v>1</v>
      </c>
    </row>
    <row r="1492" spans="1:117" x14ac:dyDescent="0.3">
      <c r="A1492" s="17" t="s">
        <v>1191</v>
      </c>
      <c r="B1492" s="13" t="s">
        <v>1192</v>
      </c>
      <c r="C1492" s="13" t="s">
        <v>347</v>
      </c>
      <c r="D1492" s="13">
        <v>0</v>
      </c>
      <c r="E1492" s="13">
        <f>86310.8067*B2</f>
        <v>86310.806700000001</v>
      </c>
      <c r="F1492" s="13">
        <f>D1492*E1492</f>
        <v>0</v>
      </c>
      <c r="G1492" s="14">
        <f>F1492/A1</f>
        <v>0</v>
      </c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8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9"/>
    </row>
    <row r="1493" spans="1:117" x14ac:dyDescent="0.3">
      <c r="A1493" s="12"/>
      <c r="B1493" s="13"/>
      <c r="C1493" s="13"/>
      <c r="D1493" s="13"/>
      <c r="E1493" s="13"/>
      <c r="F1493" s="13"/>
      <c r="G1493" s="14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20">
        <f>+$D1492*BF1491</f>
        <v>0</v>
      </c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21">
        <f>SUM(H1493:DL1493)</f>
        <v>0</v>
      </c>
    </row>
    <row r="1494" spans="1:117" x14ac:dyDescent="0.3">
      <c r="A1494" s="12"/>
      <c r="B1494" s="13"/>
      <c r="C1494" s="13"/>
      <c r="D1494" s="13"/>
      <c r="E1494" s="13"/>
      <c r="F1494" s="13"/>
      <c r="G1494" s="14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5">
        <v>1</v>
      </c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6">
        <f>SUM(H1494:DL1494)</f>
        <v>1</v>
      </c>
    </row>
    <row r="1495" spans="1:117" x14ac:dyDescent="0.3">
      <c r="A1495" s="17" t="s">
        <v>1193</v>
      </c>
      <c r="B1495" s="13" t="s">
        <v>1194</v>
      </c>
      <c r="C1495" s="13" t="s">
        <v>126</v>
      </c>
      <c r="D1495" s="13">
        <v>0</v>
      </c>
      <c r="E1495" s="13">
        <f>95761.908*B2</f>
        <v>95761.907999999996</v>
      </c>
      <c r="F1495" s="13">
        <f>D1495*E1495</f>
        <v>0</v>
      </c>
      <c r="G1495" s="14">
        <f>F1495/A1</f>
        <v>0</v>
      </c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8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9"/>
    </row>
    <row r="1496" spans="1:117" x14ac:dyDescent="0.3">
      <c r="A1496" s="12"/>
      <c r="B1496" s="13"/>
      <c r="C1496" s="13"/>
      <c r="D1496" s="13"/>
      <c r="E1496" s="13"/>
      <c r="F1496" s="13"/>
      <c r="G1496" s="14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20">
        <f>+$D1495*BF1494</f>
        <v>0</v>
      </c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21">
        <f>SUM(H1496:DL1496)</f>
        <v>0</v>
      </c>
    </row>
    <row r="1497" spans="1:117" x14ac:dyDescent="0.3">
      <c r="A1497" s="12"/>
      <c r="B1497" s="13"/>
      <c r="C1497" s="13"/>
      <c r="D1497" s="13"/>
      <c r="E1497" s="13"/>
      <c r="F1497" s="13"/>
      <c r="G1497" s="14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5">
        <v>1</v>
      </c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6">
        <f>SUM(H1497:DL1497)</f>
        <v>1</v>
      </c>
    </row>
    <row r="1498" spans="1:117" x14ac:dyDescent="0.3">
      <c r="A1498" s="17" t="s">
        <v>1195</v>
      </c>
      <c r="B1498" s="13" t="s">
        <v>1196</v>
      </c>
      <c r="C1498" s="13" t="s">
        <v>347</v>
      </c>
      <c r="D1498" s="13">
        <v>0</v>
      </c>
      <c r="E1498" s="13">
        <f>14802.1831*B2</f>
        <v>14802.1831</v>
      </c>
      <c r="F1498" s="13">
        <f>D1498*E1498</f>
        <v>0</v>
      </c>
      <c r="G1498" s="14">
        <f>F1498/A1</f>
        <v>0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8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9"/>
    </row>
    <row r="1499" spans="1:117" x14ac:dyDescent="0.3">
      <c r="A1499" s="12"/>
      <c r="B1499" s="13"/>
      <c r="C1499" s="13"/>
      <c r="D1499" s="13"/>
      <c r="E1499" s="13"/>
      <c r="F1499" s="13"/>
      <c r="G1499" s="14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20">
        <f>+$D1498*BF1497</f>
        <v>0</v>
      </c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21">
        <f>SUM(H1499:DL1499)</f>
        <v>0</v>
      </c>
    </row>
    <row r="1500" spans="1:117" x14ac:dyDescent="0.3">
      <c r="A1500" s="12"/>
      <c r="B1500" s="13"/>
      <c r="C1500" s="13"/>
      <c r="D1500" s="13"/>
      <c r="E1500" s="13"/>
      <c r="F1500" s="13"/>
      <c r="G1500" s="14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5">
        <v>1</v>
      </c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6">
        <f>SUM(H1500:DL1500)</f>
        <v>1</v>
      </c>
    </row>
    <row r="1501" spans="1:117" x14ac:dyDescent="0.3">
      <c r="A1501" s="17" t="s">
        <v>1197</v>
      </c>
      <c r="B1501" s="13" t="s">
        <v>1198</v>
      </c>
      <c r="C1501" s="13" t="s">
        <v>347</v>
      </c>
      <c r="D1501" s="13">
        <v>0</v>
      </c>
      <c r="E1501" s="13">
        <f>13998.7126*B2</f>
        <v>13998.712600000001</v>
      </c>
      <c r="F1501" s="13">
        <f>D1501*E1501</f>
        <v>0</v>
      </c>
      <c r="G1501" s="14">
        <f>F1501/A1</f>
        <v>0</v>
      </c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8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9"/>
    </row>
    <row r="1502" spans="1:117" x14ac:dyDescent="0.3">
      <c r="A1502" s="12"/>
      <c r="B1502" s="13"/>
      <c r="C1502" s="13"/>
      <c r="D1502" s="13"/>
      <c r="E1502" s="13"/>
      <c r="F1502" s="13"/>
      <c r="G1502" s="14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20">
        <f>+$D1501*BF1500</f>
        <v>0</v>
      </c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21">
        <f>SUM(H1502:DL1502)</f>
        <v>0</v>
      </c>
    </row>
    <row r="1503" spans="1:117" x14ac:dyDescent="0.3">
      <c r="A1503" s="12"/>
      <c r="B1503" s="13"/>
      <c r="C1503" s="13"/>
      <c r="D1503" s="13"/>
      <c r="E1503" s="13"/>
      <c r="F1503" s="13"/>
      <c r="G1503" s="14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5">
        <v>1</v>
      </c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6">
        <f>SUM(H1503:DL1503)</f>
        <v>1</v>
      </c>
    </row>
    <row r="1504" spans="1:117" x14ac:dyDescent="0.3">
      <c r="A1504" s="17" t="s">
        <v>1199</v>
      </c>
      <c r="B1504" s="13" t="s">
        <v>1200</v>
      </c>
      <c r="C1504" s="13" t="s">
        <v>274</v>
      </c>
      <c r="D1504" s="13">
        <v>0</v>
      </c>
      <c r="E1504" s="13">
        <f>16787.4496*B2</f>
        <v>16787.4496</v>
      </c>
      <c r="F1504" s="13">
        <f>D1504*E1504</f>
        <v>0</v>
      </c>
      <c r="G1504" s="14">
        <f>F1504/A1</f>
        <v>0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8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9"/>
    </row>
    <row r="1505" spans="1:117" x14ac:dyDescent="0.3">
      <c r="A1505" s="12"/>
      <c r="B1505" s="13"/>
      <c r="C1505" s="13"/>
      <c r="D1505" s="13"/>
      <c r="E1505" s="13"/>
      <c r="F1505" s="13"/>
      <c r="G1505" s="14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20">
        <f>+$D1504*BF1503</f>
        <v>0</v>
      </c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21">
        <f>SUM(H1505:DL1505)</f>
        <v>0</v>
      </c>
    </row>
    <row r="1506" spans="1:117" x14ac:dyDescent="0.3">
      <c r="A1506" s="12"/>
      <c r="B1506" s="13"/>
      <c r="C1506" s="13"/>
      <c r="D1506" s="13"/>
      <c r="E1506" s="13"/>
      <c r="F1506" s="13"/>
      <c r="G1506" s="14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5">
        <v>1</v>
      </c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6">
        <f>SUM(H1506:DL1506)</f>
        <v>1</v>
      </c>
    </row>
    <row r="1507" spans="1:117" x14ac:dyDescent="0.3">
      <c r="A1507" s="17" t="s">
        <v>1201</v>
      </c>
      <c r="B1507" s="13" t="s">
        <v>1202</v>
      </c>
      <c r="C1507" s="13" t="s">
        <v>126</v>
      </c>
      <c r="D1507" s="13">
        <v>0</v>
      </c>
      <c r="E1507" s="13">
        <f>7918.9544*B2</f>
        <v>7918.9543999999996</v>
      </c>
      <c r="F1507" s="13">
        <f>D1507*E1507</f>
        <v>0</v>
      </c>
      <c r="G1507" s="14">
        <f>F1507/A1</f>
        <v>0</v>
      </c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8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9"/>
    </row>
    <row r="1508" spans="1:117" x14ac:dyDescent="0.3">
      <c r="A1508" s="12"/>
      <c r="B1508" s="13"/>
      <c r="C1508" s="13"/>
      <c r="D1508" s="13"/>
      <c r="E1508" s="13"/>
      <c r="F1508" s="13"/>
      <c r="G1508" s="14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20">
        <f>+$D1507*BF1506</f>
        <v>0</v>
      </c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21">
        <f>SUM(H1508:DL1508)</f>
        <v>0</v>
      </c>
    </row>
    <row r="1509" spans="1:117" x14ac:dyDescent="0.3">
      <c r="A1509" s="12"/>
      <c r="B1509" s="13"/>
      <c r="C1509" s="13"/>
      <c r="D1509" s="13"/>
      <c r="E1509" s="13"/>
      <c r="F1509" s="13"/>
      <c r="G1509" s="14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5">
        <v>1</v>
      </c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6">
        <f>SUM(H1509:DL1509)</f>
        <v>1</v>
      </c>
    </row>
    <row r="1510" spans="1:117" x14ac:dyDescent="0.3">
      <c r="A1510" s="17" t="s">
        <v>1203</v>
      </c>
      <c r="B1510" s="13" t="s">
        <v>1204</v>
      </c>
      <c r="C1510" s="13" t="s">
        <v>347</v>
      </c>
      <c r="D1510" s="13">
        <v>0</v>
      </c>
      <c r="E1510" s="13">
        <f>17609.5139*B2</f>
        <v>17609.513900000002</v>
      </c>
      <c r="F1510" s="13">
        <f>D1510*E1510</f>
        <v>0</v>
      </c>
      <c r="G1510" s="14">
        <f>F1510/A1</f>
        <v>0</v>
      </c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8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9"/>
    </row>
    <row r="1511" spans="1:117" x14ac:dyDescent="0.3">
      <c r="A1511" s="12"/>
      <c r="B1511" s="13"/>
      <c r="C1511" s="13"/>
      <c r="D1511" s="13"/>
      <c r="E1511" s="13"/>
      <c r="F1511" s="13"/>
      <c r="G1511" s="14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20">
        <f>+$D1510*BF1509</f>
        <v>0</v>
      </c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21">
        <f>SUM(H1511:DL1511)</f>
        <v>0</v>
      </c>
    </row>
    <row r="1512" spans="1:117" x14ac:dyDescent="0.3">
      <c r="A1512" s="12"/>
      <c r="B1512" s="13"/>
      <c r="C1512" s="13"/>
      <c r="D1512" s="13"/>
      <c r="E1512" s="13"/>
      <c r="F1512" s="13"/>
      <c r="G1512" s="14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5">
        <v>1</v>
      </c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6">
        <f>SUM(H1512:DL1512)</f>
        <v>1</v>
      </c>
    </row>
    <row r="1513" spans="1:117" x14ac:dyDescent="0.3">
      <c r="A1513" s="17" t="s">
        <v>1205</v>
      </c>
      <c r="B1513" s="13" t="s">
        <v>1206</v>
      </c>
      <c r="C1513" s="13" t="s">
        <v>126</v>
      </c>
      <c r="D1513" s="13">
        <v>0</v>
      </c>
      <c r="E1513" s="13">
        <f>95761.908*B2</f>
        <v>95761.907999999996</v>
      </c>
      <c r="F1513" s="13">
        <f>D1513*E1513</f>
        <v>0</v>
      </c>
      <c r="G1513" s="14">
        <f>F1513/A1</f>
        <v>0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8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9"/>
    </row>
    <row r="1514" spans="1:117" x14ac:dyDescent="0.3">
      <c r="A1514" s="12"/>
      <c r="B1514" s="13"/>
      <c r="C1514" s="13"/>
      <c r="D1514" s="13"/>
      <c r="E1514" s="13"/>
      <c r="F1514" s="13"/>
      <c r="G1514" s="14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20">
        <f>+$D1513*BF1512</f>
        <v>0</v>
      </c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21">
        <f>SUM(H1514:DL1514)</f>
        <v>0</v>
      </c>
    </row>
    <row r="1515" spans="1:117" x14ac:dyDescent="0.3">
      <c r="A1515" s="8" t="s">
        <v>1207</v>
      </c>
      <c r="B1515" s="9" t="s">
        <v>1208</v>
      </c>
      <c r="C1515" s="9"/>
      <c r="D1515" s="9"/>
      <c r="E1515" s="9"/>
      <c r="F1515" s="9"/>
      <c r="G1515" s="10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  <c r="DC1515" s="9"/>
      <c r="DD1515" s="9"/>
      <c r="DE1515" s="9"/>
      <c r="DF1515" s="9"/>
      <c r="DG1515" s="9"/>
      <c r="DH1515" s="9"/>
      <c r="DI1515" s="9"/>
      <c r="DJ1515" s="9"/>
      <c r="DK1515" s="9"/>
      <c r="DL1515" s="9"/>
      <c r="DM1515" s="11"/>
    </row>
    <row r="1516" spans="1:117" x14ac:dyDescent="0.3">
      <c r="A1516" s="12"/>
      <c r="B1516" s="13"/>
      <c r="C1516" s="13"/>
      <c r="D1516" s="13"/>
      <c r="E1516" s="13"/>
      <c r="F1516" s="13"/>
      <c r="G1516" s="14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5">
        <v>0.98648499999999995</v>
      </c>
      <c r="BG1516" s="13"/>
      <c r="BH1516" s="13"/>
      <c r="BI1516" s="13"/>
      <c r="BJ1516" s="13"/>
      <c r="BK1516" s="15">
        <v>1.3514999999999999E-2</v>
      </c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6">
        <f>SUM(H1516:DL1516)</f>
        <v>1</v>
      </c>
    </row>
    <row r="1517" spans="1:117" x14ac:dyDescent="0.3">
      <c r="A1517" s="17" t="s">
        <v>1209</v>
      </c>
      <c r="B1517" s="13" t="s">
        <v>1210</v>
      </c>
      <c r="C1517" s="13" t="s">
        <v>126</v>
      </c>
      <c r="D1517" s="13">
        <v>0</v>
      </c>
      <c r="E1517" s="13">
        <f>11770.7214*B2</f>
        <v>11770.7214</v>
      </c>
      <c r="F1517" s="13">
        <f>D1517*E1517</f>
        <v>0</v>
      </c>
      <c r="G1517" s="14">
        <f>F1517/A1</f>
        <v>0</v>
      </c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8"/>
      <c r="BG1517" s="13"/>
      <c r="BH1517" s="13"/>
      <c r="BI1517" s="13"/>
      <c r="BJ1517" s="13"/>
      <c r="BK1517" s="18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9"/>
    </row>
    <row r="1518" spans="1:117" x14ac:dyDescent="0.3">
      <c r="A1518" s="12"/>
      <c r="B1518" s="13"/>
      <c r="C1518" s="13"/>
      <c r="D1518" s="13"/>
      <c r="E1518" s="13"/>
      <c r="F1518" s="13"/>
      <c r="G1518" s="14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20">
        <f>+$D1517*BF1516</f>
        <v>0</v>
      </c>
      <c r="BG1518" s="13"/>
      <c r="BH1518" s="13"/>
      <c r="BI1518" s="13"/>
      <c r="BJ1518" s="13"/>
      <c r="BK1518" s="20">
        <f>+$D1517*BK1516</f>
        <v>0</v>
      </c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21">
        <f>SUM(H1518:DL1518)</f>
        <v>0</v>
      </c>
    </row>
    <row r="1519" spans="1:117" x14ac:dyDescent="0.3">
      <c r="A1519" s="12"/>
      <c r="B1519" s="13"/>
      <c r="C1519" s="13"/>
      <c r="D1519" s="13"/>
      <c r="E1519" s="13"/>
      <c r="F1519" s="13"/>
      <c r="G1519" s="14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5">
        <v>0.98648599999999997</v>
      </c>
      <c r="BG1519" s="13"/>
      <c r="BH1519" s="13"/>
      <c r="BI1519" s="13"/>
      <c r="BJ1519" s="13"/>
      <c r="BK1519" s="15">
        <v>1.3514E-2</v>
      </c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6">
        <f>SUM(H1519:DL1519)</f>
        <v>1</v>
      </c>
    </row>
    <row r="1520" spans="1:117" x14ac:dyDescent="0.3">
      <c r="A1520" s="17" t="s">
        <v>1211</v>
      </c>
      <c r="B1520" s="13" t="s">
        <v>1212</v>
      </c>
      <c r="C1520" s="13" t="s">
        <v>347</v>
      </c>
      <c r="D1520" s="13">
        <v>0</v>
      </c>
      <c r="E1520" s="13">
        <f>17346.6878*B2</f>
        <v>17346.6878</v>
      </c>
      <c r="F1520" s="13">
        <f>D1520*E1520</f>
        <v>0</v>
      </c>
      <c r="G1520" s="14">
        <f>F1520/A1</f>
        <v>0</v>
      </c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8"/>
      <c r="BG1520" s="13"/>
      <c r="BH1520" s="13"/>
      <c r="BI1520" s="13"/>
      <c r="BJ1520" s="13"/>
      <c r="BK1520" s="18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9"/>
    </row>
    <row r="1521" spans="1:117" x14ac:dyDescent="0.3">
      <c r="A1521" s="12"/>
      <c r="B1521" s="13"/>
      <c r="C1521" s="13"/>
      <c r="D1521" s="13"/>
      <c r="E1521" s="13"/>
      <c r="F1521" s="13"/>
      <c r="G1521" s="14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20">
        <f>+$D1520*BF1519</f>
        <v>0</v>
      </c>
      <c r="BG1521" s="13"/>
      <c r="BH1521" s="13"/>
      <c r="BI1521" s="13"/>
      <c r="BJ1521" s="13"/>
      <c r="BK1521" s="20">
        <f>+$D1520*BK1519</f>
        <v>0</v>
      </c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21">
        <f>SUM(H1521:DL1521)</f>
        <v>0</v>
      </c>
    </row>
    <row r="1522" spans="1:117" x14ac:dyDescent="0.3">
      <c r="A1522" s="12"/>
      <c r="B1522" s="13"/>
      <c r="C1522" s="13"/>
      <c r="D1522" s="13"/>
      <c r="E1522" s="13"/>
      <c r="F1522" s="13"/>
      <c r="G1522" s="14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5">
        <v>0.98649500000000001</v>
      </c>
      <c r="BG1522" s="13"/>
      <c r="BH1522" s="13"/>
      <c r="BI1522" s="13"/>
      <c r="BJ1522" s="13"/>
      <c r="BK1522" s="15">
        <v>1.3505E-2</v>
      </c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6">
        <f>SUM(H1522:DL1522)</f>
        <v>1</v>
      </c>
    </row>
    <row r="1523" spans="1:117" x14ac:dyDescent="0.3">
      <c r="A1523" s="17" t="s">
        <v>1213</v>
      </c>
      <c r="B1523" s="13" t="s">
        <v>1214</v>
      </c>
      <c r="C1523" s="13" t="s">
        <v>347</v>
      </c>
      <c r="D1523" s="13">
        <v>0</v>
      </c>
      <c r="E1523" s="13">
        <f>91579.0538*B2</f>
        <v>91579.053799999994</v>
      </c>
      <c r="F1523" s="13">
        <f>D1523*E1523</f>
        <v>0</v>
      </c>
      <c r="G1523" s="14">
        <f>F1523/A1</f>
        <v>0</v>
      </c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8"/>
      <c r="BG1523" s="13"/>
      <c r="BH1523" s="13"/>
      <c r="BI1523" s="13"/>
      <c r="BJ1523" s="13"/>
      <c r="BK1523" s="18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9"/>
    </row>
    <row r="1524" spans="1:117" x14ac:dyDescent="0.3">
      <c r="A1524" s="12"/>
      <c r="B1524" s="13"/>
      <c r="C1524" s="13"/>
      <c r="D1524" s="13"/>
      <c r="E1524" s="13"/>
      <c r="F1524" s="13"/>
      <c r="G1524" s="14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20">
        <f>+$D1523*BF1522</f>
        <v>0</v>
      </c>
      <c r="BG1524" s="13"/>
      <c r="BH1524" s="13"/>
      <c r="BI1524" s="13"/>
      <c r="BJ1524" s="13"/>
      <c r="BK1524" s="20">
        <f>+$D1523*BK1522</f>
        <v>0</v>
      </c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21">
        <f>SUM(H1524:DL1524)</f>
        <v>0</v>
      </c>
    </row>
    <row r="1525" spans="1:117" x14ac:dyDescent="0.3">
      <c r="A1525" s="12"/>
      <c r="B1525" s="13"/>
      <c r="C1525" s="13"/>
      <c r="D1525" s="13"/>
      <c r="E1525" s="13"/>
      <c r="F1525" s="13"/>
      <c r="G1525" s="14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5">
        <v>0.98648599999999997</v>
      </c>
      <c r="BG1525" s="13"/>
      <c r="BH1525" s="13"/>
      <c r="BI1525" s="13"/>
      <c r="BJ1525" s="13"/>
      <c r="BK1525" s="15">
        <v>1.3514E-2</v>
      </c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6">
        <f>SUM(H1525:DL1525)</f>
        <v>1</v>
      </c>
    </row>
    <row r="1526" spans="1:117" x14ac:dyDescent="0.3">
      <c r="A1526" s="17" t="s">
        <v>1215</v>
      </c>
      <c r="B1526" s="13" t="s">
        <v>1216</v>
      </c>
      <c r="C1526" s="13" t="s">
        <v>126</v>
      </c>
      <c r="D1526" s="13">
        <v>0</v>
      </c>
      <c r="E1526" s="13">
        <f>29750.3527*B2</f>
        <v>29750.352699999999</v>
      </c>
      <c r="F1526" s="13">
        <f>D1526*E1526</f>
        <v>0</v>
      </c>
      <c r="G1526" s="14">
        <f>F1526/A1</f>
        <v>0</v>
      </c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8"/>
      <c r="BG1526" s="13"/>
      <c r="BH1526" s="13"/>
      <c r="BI1526" s="13"/>
      <c r="BJ1526" s="13"/>
      <c r="BK1526" s="18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9"/>
    </row>
    <row r="1527" spans="1:117" x14ac:dyDescent="0.3">
      <c r="A1527" s="12"/>
      <c r="B1527" s="13"/>
      <c r="C1527" s="13"/>
      <c r="D1527" s="13"/>
      <c r="E1527" s="13"/>
      <c r="F1527" s="13"/>
      <c r="G1527" s="14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20">
        <f>+$D1526*BF1525</f>
        <v>0</v>
      </c>
      <c r="BG1527" s="13"/>
      <c r="BH1527" s="13"/>
      <c r="BI1527" s="13"/>
      <c r="BJ1527" s="13"/>
      <c r="BK1527" s="20">
        <f>+$D1526*BK1525</f>
        <v>0</v>
      </c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21">
        <f>SUM(H1527:DL1527)</f>
        <v>0</v>
      </c>
    </row>
    <row r="1528" spans="1:117" x14ac:dyDescent="0.3">
      <c r="A1528" s="12"/>
      <c r="B1528" s="13"/>
      <c r="C1528" s="13"/>
      <c r="D1528" s="13"/>
      <c r="E1528" s="13"/>
      <c r="F1528" s="13"/>
      <c r="G1528" s="14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5">
        <v>0.986487</v>
      </c>
      <c r="BG1528" s="13"/>
      <c r="BH1528" s="13"/>
      <c r="BI1528" s="13"/>
      <c r="BJ1528" s="13"/>
      <c r="BK1528" s="15">
        <v>1.3513000000000001E-2</v>
      </c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6">
        <f>SUM(H1528:DL1528)</f>
        <v>1</v>
      </c>
    </row>
    <row r="1529" spans="1:117" x14ac:dyDescent="0.3">
      <c r="A1529" s="17" t="s">
        <v>1217</v>
      </c>
      <c r="B1529" s="13" t="s">
        <v>1218</v>
      </c>
      <c r="C1529" s="13" t="s">
        <v>347</v>
      </c>
      <c r="D1529" s="13">
        <v>0</v>
      </c>
      <c r="E1529" s="13">
        <f>21191.3356*B2</f>
        <v>21191.335599999999</v>
      </c>
      <c r="F1529" s="13">
        <f>D1529*E1529</f>
        <v>0</v>
      </c>
      <c r="G1529" s="14">
        <f>F1529/A1</f>
        <v>0</v>
      </c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8"/>
      <c r="BG1529" s="13"/>
      <c r="BH1529" s="13"/>
      <c r="BI1529" s="13"/>
      <c r="BJ1529" s="13"/>
      <c r="BK1529" s="18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9"/>
    </row>
    <row r="1530" spans="1:117" x14ac:dyDescent="0.3">
      <c r="A1530" s="12"/>
      <c r="B1530" s="13"/>
      <c r="C1530" s="13"/>
      <c r="D1530" s="13"/>
      <c r="E1530" s="13"/>
      <c r="F1530" s="13"/>
      <c r="G1530" s="14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20">
        <f>+$D1529*BF1528</f>
        <v>0</v>
      </c>
      <c r="BG1530" s="13"/>
      <c r="BH1530" s="13"/>
      <c r="BI1530" s="13"/>
      <c r="BJ1530" s="13"/>
      <c r="BK1530" s="20">
        <f>+$D1529*BK1528</f>
        <v>0</v>
      </c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21">
        <f>SUM(H1530:DL1530)</f>
        <v>0</v>
      </c>
    </row>
    <row r="1531" spans="1:117" x14ac:dyDescent="0.3">
      <c r="A1531" s="12"/>
      <c r="B1531" s="13"/>
      <c r="C1531" s="13"/>
      <c r="D1531" s="13"/>
      <c r="E1531" s="13"/>
      <c r="F1531" s="13"/>
      <c r="G1531" s="14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5">
        <v>0.98648599999999997</v>
      </c>
      <c r="BG1531" s="13"/>
      <c r="BH1531" s="13"/>
      <c r="BI1531" s="13"/>
      <c r="BJ1531" s="13"/>
      <c r="BK1531" s="15">
        <v>1.3514E-2</v>
      </c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6">
        <f>SUM(H1531:DL1531)</f>
        <v>1</v>
      </c>
    </row>
    <row r="1532" spans="1:117" x14ac:dyDescent="0.3">
      <c r="A1532" s="17" t="s">
        <v>1219</v>
      </c>
      <c r="B1532" s="13" t="s">
        <v>1220</v>
      </c>
      <c r="C1532" s="13" t="s">
        <v>126</v>
      </c>
      <c r="D1532" s="13">
        <v>0</v>
      </c>
      <c r="E1532" s="13">
        <f>12511.6263*B2</f>
        <v>12511.6263</v>
      </c>
      <c r="F1532" s="13">
        <f>D1532*E1532</f>
        <v>0</v>
      </c>
      <c r="G1532" s="14">
        <f>F1532/A1</f>
        <v>0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8"/>
      <c r="BG1532" s="13"/>
      <c r="BH1532" s="13"/>
      <c r="BI1532" s="13"/>
      <c r="BJ1532" s="13"/>
      <c r="BK1532" s="18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9"/>
    </row>
    <row r="1533" spans="1:117" x14ac:dyDescent="0.3">
      <c r="A1533" s="12"/>
      <c r="B1533" s="13"/>
      <c r="C1533" s="13"/>
      <c r="D1533" s="13"/>
      <c r="E1533" s="13"/>
      <c r="F1533" s="13"/>
      <c r="G1533" s="14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20">
        <f>+$D1532*BF1531</f>
        <v>0</v>
      </c>
      <c r="BG1533" s="13"/>
      <c r="BH1533" s="13"/>
      <c r="BI1533" s="13"/>
      <c r="BJ1533" s="13"/>
      <c r="BK1533" s="20">
        <f>+$D1532*BK1531</f>
        <v>0</v>
      </c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21">
        <f>SUM(H1533:DL1533)</f>
        <v>0</v>
      </c>
    </row>
    <row r="1534" spans="1:117" x14ac:dyDescent="0.3">
      <c r="A1534" s="12"/>
      <c r="B1534" s="13"/>
      <c r="C1534" s="13"/>
      <c r="D1534" s="13"/>
      <c r="E1534" s="13"/>
      <c r="F1534" s="13"/>
      <c r="G1534" s="14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5">
        <v>0.98648599999999997</v>
      </c>
      <c r="BG1534" s="13"/>
      <c r="BH1534" s="13"/>
      <c r="BI1534" s="13"/>
      <c r="BJ1534" s="13"/>
      <c r="BK1534" s="15">
        <v>1.3514E-2</v>
      </c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6">
        <f>SUM(H1534:DL1534)</f>
        <v>1</v>
      </c>
    </row>
    <row r="1535" spans="1:117" x14ac:dyDescent="0.3">
      <c r="A1535" s="17" t="s">
        <v>1221</v>
      </c>
      <c r="B1535" s="13" t="s">
        <v>1222</v>
      </c>
      <c r="C1535" s="13" t="s">
        <v>274</v>
      </c>
      <c r="D1535" s="13">
        <v>0</v>
      </c>
      <c r="E1535" s="13">
        <f>16787.8683*B2</f>
        <v>16787.868299999998</v>
      </c>
      <c r="F1535" s="13">
        <f>D1535*E1535</f>
        <v>0</v>
      </c>
      <c r="G1535" s="14">
        <f>F1535/A1</f>
        <v>0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8"/>
      <c r="BG1535" s="13"/>
      <c r="BH1535" s="13"/>
      <c r="BI1535" s="13"/>
      <c r="BJ1535" s="13"/>
      <c r="BK1535" s="18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9"/>
    </row>
    <row r="1536" spans="1:117" x14ac:dyDescent="0.3">
      <c r="A1536" s="12"/>
      <c r="B1536" s="13"/>
      <c r="C1536" s="13"/>
      <c r="D1536" s="13"/>
      <c r="E1536" s="13"/>
      <c r="F1536" s="13"/>
      <c r="G1536" s="14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20">
        <f>+$D1535*BF1534</f>
        <v>0</v>
      </c>
      <c r="BG1536" s="13"/>
      <c r="BH1536" s="13"/>
      <c r="BI1536" s="13"/>
      <c r="BJ1536" s="13"/>
      <c r="BK1536" s="20">
        <f>+$D1535*BK1534</f>
        <v>0</v>
      </c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21">
        <f>SUM(H1536:DL1536)</f>
        <v>0</v>
      </c>
    </row>
    <row r="1537" spans="1:117" x14ac:dyDescent="0.3">
      <c r="A1537" s="12"/>
      <c r="B1537" s="13"/>
      <c r="C1537" s="13"/>
      <c r="D1537" s="13"/>
      <c r="E1537" s="13"/>
      <c r="F1537" s="13"/>
      <c r="G1537" s="14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5">
        <v>0.98648599999999997</v>
      </c>
      <c r="BG1537" s="13"/>
      <c r="BH1537" s="13"/>
      <c r="BI1537" s="13"/>
      <c r="BJ1537" s="13"/>
      <c r="BK1537" s="15">
        <v>1.3514E-2</v>
      </c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6">
        <f>SUM(H1537:DL1537)</f>
        <v>1</v>
      </c>
    </row>
    <row r="1538" spans="1:117" x14ac:dyDescent="0.3">
      <c r="A1538" s="17" t="s">
        <v>1223</v>
      </c>
      <c r="B1538" s="13" t="s">
        <v>1224</v>
      </c>
      <c r="C1538" s="13" t="s">
        <v>126</v>
      </c>
      <c r="D1538" s="13">
        <v>0</v>
      </c>
      <c r="E1538" s="13">
        <f>7920.0432*B2</f>
        <v>7920.0432000000001</v>
      </c>
      <c r="F1538" s="13">
        <f>D1538*E1538</f>
        <v>0</v>
      </c>
      <c r="G1538" s="14">
        <f>F1538/A1</f>
        <v>0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8"/>
      <c r="BG1538" s="13"/>
      <c r="BH1538" s="13"/>
      <c r="BI1538" s="13"/>
      <c r="BJ1538" s="13"/>
      <c r="BK1538" s="18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9"/>
    </row>
    <row r="1539" spans="1:117" x14ac:dyDescent="0.3">
      <c r="A1539" s="12"/>
      <c r="B1539" s="13"/>
      <c r="C1539" s="13"/>
      <c r="D1539" s="13"/>
      <c r="E1539" s="13"/>
      <c r="F1539" s="13"/>
      <c r="G1539" s="14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20">
        <f>+$D1538*BF1537</f>
        <v>0</v>
      </c>
      <c r="BG1539" s="13"/>
      <c r="BH1539" s="13"/>
      <c r="BI1539" s="13"/>
      <c r="BJ1539" s="13"/>
      <c r="BK1539" s="20">
        <f>+$D1538*BK1537</f>
        <v>0</v>
      </c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21">
        <f>SUM(H1539:DL1539)</f>
        <v>0</v>
      </c>
    </row>
    <row r="1540" spans="1:117" x14ac:dyDescent="0.3">
      <c r="A1540" s="12"/>
      <c r="B1540" s="13"/>
      <c r="C1540" s="13"/>
      <c r="D1540" s="13"/>
      <c r="E1540" s="13"/>
      <c r="F1540" s="13"/>
      <c r="G1540" s="14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5">
        <v>0.98387199999999997</v>
      </c>
      <c r="BG1540" s="13"/>
      <c r="BH1540" s="13"/>
      <c r="BI1540" s="13"/>
      <c r="BJ1540" s="13"/>
      <c r="BK1540" s="15">
        <v>1.6128E-2</v>
      </c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6">
        <f>SUM(H1540:DL1540)</f>
        <v>1</v>
      </c>
    </row>
    <row r="1541" spans="1:117" x14ac:dyDescent="0.3">
      <c r="A1541" s="17" t="s">
        <v>1225</v>
      </c>
      <c r="B1541" s="13" t="s">
        <v>1226</v>
      </c>
      <c r="C1541" s="13" t="s">
        <v>347</v>
      </c>
      <c r="D1541" s="13">
        <v>0</v>
      </c>
      <c r="E1541" s="13">
        <f>20815.8579*B2</f>
        <v>20815.857899999999</v>
      </c>
      <c r="F1541" s="13">
        <f>D1541*E1541</f>
        <v>0</v>
      </c>
      <c r="G1541" s="14">
        <f>F1541/A1</f>
        <v>0</v>
      </c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8"/>
      <c r="BG1541" s="13"/>
      <c r="BH1541" s="13"/>
      <c r="BI1541" s="13"/>
      <c r="BJ1541" s="13"/>
      <c r="BK1541" s="18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9"/>
    </row>
    <row r="1542" spans="1:117" x14ac:dyDescent="0.3">
      <c r="A1542" s="12"/>
      <c r="B1542" s="13"/>
      <c r="C1542" s="13"/>
      <c r="D1542" s="13"/>
      <c r="E1542" s="13"/>
      <c r="F1542" s="13"/>
      <c r="G1542" s="14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20">
        <f>+$D1541*BF1540</f>
        <v>0</v>
      </c>
      <c r="BG1542" s="13"/>
      <c r="BH1542" s="13"/>
      <c r="BI1542" s="13"/>
      <c r="BJ1542" s="13"/>
      <c r="BK1542" s="20">
        <f>+$D1541*BK1540</f>
        <v>0</v>
      </c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21">
        <f>SUM(H1542:DL1542)</f>
        <v>0</v>
      </c>
    </row>
    <row r="1543" spans="1:117" x14ac:dyDescent="0.3">
      <c r="A1543" s="12"/>
      <c r="B1543" s="13"/>
      <c r="C1543" s="13"/>
      <c r="D1543" s="13"/>
      <c r="E1543" s="13"/>
      <c r="F1543" s="13"/>
      <c r="G1543" s="14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5">
        <v>0.98387500000000006</v>
      </c>
      <c r="BG1543" s="13"/>
      <c r="BH1543" s="13"/>
      <c r="BI1543" s="13"/>
      <c r="BJ1543" s="13"/>
      <c r="BK1543" s="15">
        <v>1.6125E-2</v>
      </c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6">
        <f>SUM(H1543:DL1543)</f>
        <v>1</v>
      </c>
    </row>
    <row r="1544" spans="1:117" x14ac:dyDescent="0.3">
      <c r="A1544" s="17" t="s">
        <v>1227</v>
      </c>
      <c r="B1544" s="13" t="s">
        <v>1228</v>
      </c>
      <c r="C1544" s="13" t="s">
        <v>126</v>
      </c>
      <c r="D1544" s="13">
        <v>0</v>
      </c>
      <c r="E1544" s="13">
        <f>29750.3527*B2</f>
        <v>29750.352699999999</v>
      </c>
      <c r="F1544" s="13">
        <f>D1544*E1544</f>
        <v>0</v>
      </c>
      <c r="G1544" s="14">
        <f>F1544/A1</f>
        <v>0</v>
      </c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8"/>
      <c r="BG1544" s="13"/>
      <c r="BH1544" s="13"/>
      <c r="BI1544" s="13"/>
      <c r="BJ1544" s="13"/>
      <c r="BK1544" s="18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9"/>
    </row>
    <row r="1545" spans="1:117" x14ac:dyDescent="0.3">
      <c r="A1545" s="12"/>
      <c r="B1545" s="13"/>
      <c r="C1545" s="13"/>
      <c r="D1545" s="13"/>
      <c r="E1545" s="13"/>
      <c r="F1545" s="13"/>
      <c r="G1545" s="14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20">
        <f>+$D1544*BF1543</f>
        <v>0</v>
      </c>
      <c r="BG1545" s="13"/>
      <c r="BH1545" s="13"/>
      <c r="BI1545" s="13"/>
      <c r="BJ1545" s="13"/>
      <c r="BK1545" s="20">
        <f>+$D1544*BK1543</f>
        <v>0</v>
      </c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21">
        <f>SUM(H1545:DL1545)</f>
        <v>0</v>
      </c>
    </row>
    <row r="1546" spans="1:117" x14ac:dyDescent="0.3">
      <c r="A1546" s="8" t="s">
        <v>1229</v>
      </c>
      <c r="B1546" s="9" t="s">
        <v>1230</v>
      </c>
      <c r="C1546" s="9"/>
      <c r="D1546" s="9"/>
      <c r="E1546" s="9"/>
      <c r="F1546" s="9"/>
      <c r="G1546" s="10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  <c r="DC1546" s="9"/>
      <c r="DD1546" s="9"/>
      <c r="DE1546" s="9"/>
      <c r="DF1546" s="9"/>
      <c r="DG1546" s="9"/>
      <c r="DH1546" s="9"/>
      <c r="DI1546" s="9"/>
      <c r="DJ1546" s="9"/>
      <c r="DK1546" s="9"/>
      <c r="DL1546" s="9"/>
      <c r="DM1546" s="11"/>
    </row>
    <row r="1547" spans="1:117" x14ac:dyDescent="0.3">
      <c r="A1547" s="12"/>
      <c r="B1547" s="13"/>
      <c r="C1547" s="13"/>
      <c r="D1547" s="13"/>
      <c r="E1547" s="13"/>
      <c r="F1547" s="13"/>
      <c r="G1547" s="14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5">
        <v>1</v>
      </c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6">
        <f>SUM(H1547:DL1547)</f>
        <v>1</v>
      </c>
    </row>
    <row r="1548" spans="1:117" x14ac:dyDescent="0.3">
      <c r="A1548" s="17" t="s">
        <v>1231</v>
      </c>
      <c r="B1548" s="13" t="s">
        <v>1232</v>
      </c>
      <c r="C1548" s="13" t="s">
        <v>126</v>
      </c>
      <c r="D1548" s="13">
        <v>0</v>
      </c>
      <c r="E1548" s="13">
        <f>11770.7214*B2</f>
        <v>11770.7214</v>
      </c>
      <c r="F1548" s="13">
        <f>D1548*E1548</f>
        <v>0</v>
      </c>
      <c r="G1548" s="14">
        <f>F1548/A1</f>
        <v>0</v>
      </c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8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9"/>
    </row>
    <row r="1549" spans="1:117" x14ac:dyDescent="0.3">
      <c r="A1549" s="12"/>
      <c r="B1549" s="13"/>
      <c r="C1549" s="13"/>
      <c r="D1549" s="13"/>
      <c r="E1549" s="13"/>
      <c r="F1549" s="13"/>
      <c r="G1549" s="14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20">
        <f>+$D1548*BF1547</f>
        <v>0</v>
      </c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21">
        <f>SUM(H1549:DL1549)</f>
        <v>0</v>
      </c>
    </row>
    <row r="1550" spans="1:117" x14ac:dyDescent="0.3">
      <c r="A1550" s="12"/>
      <c r="B1550" s="13"/>
      <c r="C1550" s="13"/>
      <c r="D1550" s="13"/>
      <c r="E1550" s="13"/>
      <c r="F1550" s="13"/>
      <c r="G1550" s="14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5">
        <v>1</v>
      </c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6">
        <f>SUM(H1550:DL1550)</f>
        <v>1</v>
      </c>
    </row>
    <row r="1551" spans="1:117" x14ac:dyDescent="0.3">
      <c r="A1551" s="17" t="s">
        <v>1233</v>
      </c>
      <c r="B1551" s="13" t="s">
        <v>1234</v>
      </c>
      <c r="C1551" s="13" t="s">
        <v>347</v>
      </c>
      <c r="D1551" s="13">
        <v>0</v>
      </c>
      <c r="E1551" s="13">
        <f>12774.8711*B2</f>
        <v>12774.8711</v>
      </c>
      <c r="F1551" s="13">
        <f>D1551*E1551</f>
        <v>0</v>
      </c>
      <c r="G1551" s="14">
        <f>F1551/A1</f>
        <v>0</v>
      </c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8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9"/>
    </row>
    <row r="1552" spans="1:117" x14ac:dyDescent="0.3">
      <c r="A1552" s="12"/>
      <c r="B1552" s="13"/>
      <c r="C1552" s="13"/>
      <c r="D1552" s="13"/>
      <c r="E1552" s="13"/>
      <c r="F1552" s="13"/>
      <c r="G1552" s="14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20">
        <f>+$D1551*BF1550</f>
        <v>0</v>
      </c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21">
        <f>SUM(H1552:DL1552)</f>
        <v>0</v>
      </c>
    </row>
    <row r="1553" spans="1:117" x14ac:dyDescent="0.3">
      <c r="A1553" s="12"/>
      <c r="B1553" s="13"/>
      <c r="C1553" s="13"/>
      <c r="D1553" s="13"/>
      <c r="E1553" s="13"/>
      <c r="F1553" s="13"/>
      <c r="G1553" s="14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5">
        <v>1</v>
      </c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6">
        <f>SUM(H1553:DL1553)</f>
        <v>1</v>
      </c>
    </row>
    <row r="1554" spans="1:117" x14ac:dyDescent="0.3">
      <c r="A1554" s="17" t="s">
        <v>1235</v>
      </c>
      <c r="B1554" s="13" t="s">
        <v>1236</v>
      </c>
      <c r="C1554" s="13" t="s">
        <v>347</v>
      </c>
      <c r="D1554" s="13">
        <v>0</v>
      </c>
      <c r="E1554" s="13">
        <f>67114.7883*B2</f>
        <v>67114.7883</v>
      </c>
      <c r="F1554" s="13">
        <f>D1554*E1554</f>
        <v>0</v>
      </c>
      <c r="G1554" s="14">
        <f>F1554/A1</f>
        <v>0</v>
      </c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8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9"/>
    </row>
    <row r="1555" spans="1:117" x14ac:dyDescent="0.3">
      <c r="A1555" s="12"/>
      <c r="B1555" s="13"/>
      <c r="C1555" s="13"/>
      <c r="D1555" s="13"/>
      <c r="E1555" s="13"/>
      <c r="F1555" s="13"/>
      <c r="G1555" s="14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20">
        <f>+$D1554*BF1553</f>
        <v>0</v>
      </c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21">
        <f>SUM(H1555:DL1555)</f>
        <v>0</v>
      </c>
    </row>
    <row r="1556" spans="1:117" x14ac:dyDescent="0.3">
      <c r="A1556" s="12"/>
      <c r="B1556" s="13"/>
      <c r="C1556" s="13"/>
      <c r="D1556" s="13"/>
      <c r="E1556" s="13"/>
      <c r="F1556" s="13"/>
      <c r="G1556" s="14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5">
        <v>1</v>
      </c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6">
        <f>SUM(H1556:DL1556)</f>
        <v>1</v>
      </c>
    </row>
    <row r="1557" spans="1:117" x14ac:dyDescent="0.3">
      <c r="A1557" s="17" t="s">
        <v>1237</v>
      </c>
      <c r="B1557" s="13" t="s">
        <v>1238</v>
      </c>
      <c r="C1557" s="13" t="s">
        <v>126</v>
      </c>
      <c r="D1557" s="13">
        <v>0</v>
      </c>
      <c r="E1557" s="13">
        <f>38865.9279*B2</f>
        <v>38865.927900000002</v>
      </c>
      <c r="F1557" s="13">
        <f>D1557*E1557</f>
        <v>0</v>
      </c>
      <c r="G1557" s="14">
        <f>F1557/A1</f>
        <v>0</v>
      </c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8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9"/>
    </row>
    <row r="1558" spans="1:117" x14ac:dyDescent="0.3">
      <c r="A1558" s="12"/>
      <c r="B1558" s="13"/>
      <c r="C1558" s="13"/>
      <c r="D1558" s="13"/>
      <c r="E1558" s="13"/>
      <c r="F1558" s="13"/>
      <c r="G1558" s="14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20">
        <f>+$D1557*BF1556</f>
        <v>0</v>
      </c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21">
        <f>SUM(H1558:DL1558)</f>
        <v>0</v>
      </c>
    </row>
    <row r="1559" spans="1:117" x14ac:dyDescent="0.3">
      <c r="A1559" s="12"/>
      <c r="B1559" s="13"/>
      <c r="C1559" s="13"/>
      <c r="D1559" s="13"/>
      <c r="E1559" s="13"/>
      <c r="F1559" s="13"/>
      <c r="G1559" s="14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5">
        <v>1</v>
      </c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6">
        <f>SUM(H1559:DL1559)</f>
        <v>1</v>
      </c>
    </row>
    <row r="1560" spans="1:117" x14ac:dyDescent="0.3">
      <c r="A1560" s="17" t="s">
        <v>1239</v>
      </c>
      <c r="B1560" s="13" t="s">
        <v>1240</v>
      </c>
      <c r="C1560" s="13" t="s">
        <v>347</v>
      </c>
      <c r="D1560" s="13">
        <v>0</v>
      </c>
      <c r="E1560" s="13">
        <f>12685.001*B2</f>
        <v>12685.001</v>
      </c>
      <c r="F1560" s="13">
        <f>D1560*E1560</f>
        <v>0</v>
      </c>
      <c r="G1560" s="14">
        <f>F1560/A1</f>
        <v>0</v>
      </c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8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9"/>
    </row>
    <row r="1561" spans="1:117" x14ac:dyDescent="0.3">
      <c r="A1561" s="12"/>
      <c r="B1561" s="13"/>
      <c r="C1561" s="13"/>
      <c r="D1561" s="13"/>
      <c r="E1561" s="13"/>
      <c r="F1561" s="13"/>
      <c r="G1561" s="14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20">
        <f>+$D1560*BF1559</f>
        <v>0</v>
      </c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21">
        <f>SUM(H1561:DL1561)</f>
        <v>0</v>
      </c>
    </row>
    <row r="1562" spans="1:117" x14ac:dyDescent="0.3">
      <c r="A1562" s="12"/>
      <c r="B1562" s="13"/>
      <c r="C1562" s="13"/>
      <c r="D1562" s="13"/>
      <c r="E1562" s="13"/>
      <c r="F1562" s="13"/>
      <c r="G1562" s="14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5">
        <v>1</v>
      </c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6">
        <f>SUM(H1562:DL1562)</f>
        <v>1</v>
      </c>
    </row>
    <row r="1563" spans="1:117" x14ac:dyDescent="0.3">
      <c r="A1563" s="17" t="s">
        <v>1241</v>
      </c>
      <c r="B1563" s="13" t="s">
        <v>1242</v>
      </c>
      <c r="C1563" s="13" t="s">
        <v>347</v>
      </c>
      <c r="D1563" s="13">
        <v>0</v>
      </c>
      <c r="E1563" s="13">
        <f>10887.0128*B2</f>
        <v>10887.0128</v>
      </c>
      <c r="F1563" s="13">
        <f>D1563*E1563</f>
        <v>0</v>
      </c>
      <c r="G1563" s="14">
        <f>F1563/A1</f>
        <v>0</v>
      </c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8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9"/>
    </row>
    <row r="1564" spans="1:117" x14ac:dyDescent="0.3">
      <c r="A1564" s="12"/>
      <c r="B1564" s="13"/>
      <c r="C1564" s="13"/>
      <c r="D1564" s="13"/>
      <c r="E1564" s="13"/>
      <c r="F1564" s="13"/>
      <c r="G1564" s="14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20">
        <f>+$D1563*BF1562</f>
        <v>0</v>
      </c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21">
        <f>SUM(H1564:DL1564)</f>
        <v>0</v>
      </c>
    </row>
    <row r="1565" spans="1:117" x14ac:dyDescent="0.3">
      <c r="A1565" s="12"/>
      <c r="B1565" s="13"/>
      <c r="C1565" s="13"/>
      <c r="D1565" s="13"/>
      <c r="E1565" s="13"/>
      <c r="F1565" s="13"/>
      <c r="G1565" s="14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5">
        <v>1</v>
      </c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6">
        <f>SUM(H1565:DL1565)</f>
        <v>1</v>
      </c>
    </row>
    <row r="1566" spans="1:117" x14ac:dyDescent="0.3">
      <c r="A1566" s="17" t="s">
        <v>1243</v>
      </c>
      <c r="B1566" s="13" t="s">
        <v>1244</v>
      </c>
      <c r="C1566" s="13" t="s">
        <v>274</v>
      </c>
      <c r="D1566" s="13">
        <v>0</v>
      </c>
      <c r="E1566" s="13">
        <f>16788.0358*B2</f>
        <v>16788.035800000001</v>
      </c>
      <c r="F1566" s="13">
        <f>D1566*E1566</f>
        <v>0</v>
      </c>
      <c r="G1566" s="14">
        <f>F1566/A1</f>
        <v>0</v>
      </c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8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9"/>
    </row>
    <row r="1567" spans="1:117" x14ac:dyDescent="0.3">
      <c r="A1567" s="12"/>
      <c r="B1567" s="13"/>
      <c r="C1567" s="13"/>
      <c r="D1567" s="13"/>
      <c r="E1567" s="13"/>
      <c r="F1567" s="13"/>
      <c r="G1567" s="14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20">
        <f>+$D1566*BF1565</f>
        <v>0</v>
      </c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21">
        <f>SUM(H1567:DL1567)</f>
        <v>0</v>
      </c>
    </row>
    <row r="1568" spans="1:117" x14ac:dyDescent="0.3">
      <c r="A1568" s="12"/>
      <c r="B1568" s="13"/>
      <c r="C1568" s="13"/>
      <c r="D1568" s="13"/>
      <c r="E1568" s="13"/>
      <c r="F1568" s="13"/>
      <c r="G1568" s="14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5">
        <v>1</v>
      </c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6">
        <f>SUM(H1568:DL1568)</f>
        <v>1</v>
      </c>
    </row>
    <row r="1569" spans="1:117" x14ac:dyDescent="0.3">
      <c r="A1569" s="17" t="s">
        <v>1245</v>
      </c>
      <c r="B1569" s="13" t="s">
        <v>1246</v>
      </c>
      <c r="C1569" s="13" t="s">
        <v>126</v>
      </c>
      <c r="D1569" s="13">
        <v>0</v>
      </c>
      <c r="E1569" s="13">
        <f>7918.4518*B2</f>
        <v>7918.4517999999998</v>
      </c>
      <c r="F1569" s="13">
        <f>D1569*E1569</f>
        <v>0</v>
      </c>
      <c r="G1569" s="14">
        <f>F1569/A1</f>
        <v>0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8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9"/>
    </row>
    <row r="1570" spans="1:117" x14ac:dyDescent="0.3">
      <c r="A1570" s="12"/>
      <c r="B1570" s="13"/>
      <c r="C1570" s="13"/>
      <c r="D1570" s="13"/>
      <c r="E1570" s="13"/>
      <c r="F1570" s="13"/>
      <c r="G1570" s="14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20">
        <f>+$D1569*BF1568</f>
        <v>0</v>
      </c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21">
        <f>SUM(H1570:DL1570)</f>
        <v>0</v>
      </c>
    </row>
    <row r="1571" spans="1:117" x14ac:dyDescent="0.3">
      <c r="A1571" s="8" t="s">
        <v>1247</v>
      </c>
      <c r="B1571" s="9" t="s">
        <v>1248</v>
      </c>
      <c r="C1571" s="9"/>
      <c r="D1571" s="9"/>
      <c r="E1571" s="9"/>
      <c r="F1571" s="9"/>
      <c r="G1571" s="10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  <c r="DC1571" s="9"/>
      <c r="DD1571" s="9"/>
      <c r="DE1571" s="9"/>
      <c r="DF1571" s="9"/>
      <c r="DG1571" s="9"/>
      <c r="DH1571" s="9"/>
      <c r="DI1571" s="9"/>
      <c r="DJ1571" s="9"/>
      <c r="DK1571" s="9"/>
      <c r="DL1571" s="9"/>
      <c r="DM1571" s="11"/>
    </row>
    <row r="1572" spans="1:117" x14ac:dyDescent="0.3">
      <c r="A1572" s="12"/>
      <c r="B1572" s="13"/>
      <c r="C1572" s="13"/>
      <c r="D1572" s="13"/>
      <c r="E1572" s="13"/>
      <c r="F1572" s="13"/>
      <c r="G1572" s="14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5">
        <v>0.55468399999999995</v>
      </c>
      <c r="CL1572" s="15">
        <v>0.44531599999999999</v>
      </c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6">
        <f>SUM(H1572:DL1572)</f>
        <v>1</v>
      </c>
    </row>
    <row r="1573" spans="1:117" x14ac:dyDescent="0.3">
      <c r="A1573" s="17" t="s">
        <v>1249</v>
      </c>
      <c r="B1573" s="13" t="s">
        <v>1250</v>
      </c>
      <c r="C1573" s="13" t="s">
        <v>126</v>
      </c>
      <c r="D1573" s="13">
        <v>0</v>
      </c>
      <c r="E1573" s="13">
        <f>11770.7214*B2</f>
        <v>11770.7214</v>
      </c>
      <c r="F1573" s="13">
        <f>D1573*E1573</f>
        <v>0</v>
      </c>
      <c r="G1573" s="14">
        <f>F1573/A1</f>
        <v>0</v>
      </c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8"/>
      <c r="CL1573" s="18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9"/>
    </row>
    <row r="1574" spans="1:117" x14ac:dyDescent="0.3">
      <c r="A1574" s="12"/>
      <c r="B1574" s="13"/>
      <c r="C1574" s="13"/>
      <c r="D1574" s="13"/>
      <c r="E1574" s="13"/>
      <c r="F1574" s="13"/>
      <c r="G1574" s="14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20">
        <f>+$D1573*CK1572</f>
        <v>0</v>
      </c>
      <c r="CL1574" s="20">
        <f>+$D1573*CL1572</f>
        <v>0</v>
      </c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21">
        <f>SUM(H1574:DL1574)</f>
        <v>0</v>
      </c>
    </row>
    <row r="1575" spans="1:117" x14ac:dyDescent="0.3">
      <c r="A1575" s="12"/>
      <c r="B1575" s="13"/>
      <c r="C1575" s="13"/>
      <c r="D1575" s="13"/>
      <c r="E1575" s="13"/>
      <c r="F1575" s="13"/>
      <c r="G1575" s="14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5">
        <v>0.234019</v>
      </c>
      <c r="CL1575" s="15">
        <v>0.24177899999999999</v>
      </c>
      <c r="CM1575" s="15">
        <v>0.24338000000000001</v>
      </c>
      <c r="CN1575" s="15">
        <v>0.28082299999999999</v>
      </c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6">
        <f>SUM(H1575:DL1575)</f>
        <v>1.0000009999999999</v>
      </c>
    </row>
    <row r="1576" spans="1:117" x14ac:dyDescent="0.3">
      <c r="A1576" s="17" t="s">
        <v>1251</v>
      </c>
      <c r="B1576" s="13" t="s">
        <v>1252</v>
      </c>
      <c r="C1576" s="13" t="s">
        <v>347</v>
      </c>
      <c r="D1576" s="13">
        <v>0</v>
      </c>
      <c r="E1576" s="13">
        <f>12774.7036*B2</f>
        <v>12774.703600000001</v>
      </c>
      <c r="F1576" s="13">
        <f>D1576*E1576</f>
        <v>0</v>
      </c>
      <c r="G1576" s="14">
        <f>F1576/A1</f>
        <v>0</v>
      </c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8"/>
      <c r="CL1576" s="18"/>
      <c r="CM1576" s="18"/>
      <c r="CN1576" s="18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9"/>
    </row>
    <row r="1577" spans="1:117" x14ac:dyDescent="0.3">
      <c r="A1577" s="12"/>
      <c r="B1577" s="13"/>
      <c r="C1577" s="13"/>
      <c r="D1577" s="13"/>
      <c r="E1577" s="13"/>
      <c r="F1577" s="13"/>
      <c r="G1577" s="14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20">
        <f>+$D1576*CK1575</f>
        <v>0</v>
      </c>
      <c r="CL1577" s="20">
        <f>+$D1576*CL1575</f>
        <v>0</v>
      </c>
      <c r="CM1577" s="20">
        <f>+$D1576*CM1575</f>
        <v>0</v>
      </c>
      <c r="CN1577" s="20">
        <f>+$D1576*CN1575</f>
        <v>0</v>
      </c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21">
        <f>SUM(H1577:DL1577)</f>
        <v>0</v>
      </c>
    </row>
    <row r="1578" spans="1:117" x14ac:dyDescent="0.3">
      <c r="A1578" s="12"/>
      <c r="B1578" s="13"/>
      <c r="C1578" s="13"/>
      <c r="D1578" s="13"/>
      <c r="E1578" s="13"/>
      <c r="F1578" s="13"/>
      <c r="G1578" s="14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5">
        <v>0.25065700000000002</v>
      </c>
      <c r="CM1578" s="15">
        <v>0.25065700000000002</v>
      </c>
      <c r="CN1578" s="15">
        <v>0.25065700000000002</v>
      </c>
      <c r="CO1578" s="15">
        <v>0.24803</v>
      </c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6">
        <f>SUM(H1578:DL1578)</f>
        <v>1.0000010000000001</v>
      </c>
    </row>
    <row r="1579" spans="1:117" x14ac:dyDescent="0.3">
      <c r="A1579" s="17" t="s">
        <v>1253</v>
      </c>
      <c r="B1579" s="13" t="s">
        <v>1254</v>
      </c>
      <c r="C1579" s="13" t="s">
        <v>347</v>
      </c>
      <c r="D1579" s="13">
        <v>0</v>
      </c>
      <c r="E1579" s="13">
        <f>67114.7883*B2</f>
        <v>67114.7883</v>
      </c>
      <c r="F1579" s="13">
        <f>D1579*E1579</f>
        <v>0</v>
      </c>
      <c r="G1579" s="14">
        <f>F1579/A1</f>
        <v>0</v>
      </c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8"/>
      <c r="CM1579" s="18"/>
      <c r="CN1579" s="18"/>
      <c r="CO1579" s="18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9"/>
    </row>
    <row r="1580" spans="1:117" x14ac:dyDescent="0.3">
      <c r="A1580" s="12"/>
      <c r="B1580" s="13"/>
      <c r="C1580" s="13"/>
      <c r="D1580" s="13"/>
      <c r="E1580" s="13"/>
      <c r="F1580" s="13"/>
      <c r="G1580" s="14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20">
        <f>+$D1579*CL1578</f>
        <v>0</v>
      </c>
      <c r="CM1580" s="20">
        <f>+$D1579*CM1578</f>
        <v>0</v>
      </c>
      <c r="CN1580" s="20">
        <f>+$D1579*CN1578</f>
        <v>0</v>
      </c>
      <c r="CO1580" s="20">
        <f>+$D1579*CO1578</f>
        <v>0</v>
      </c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21">
        <f>SUM(H1580:DL1580)</f>
        <v>0</v>
      </c>
    </row>
    <row r="1581" spans="1:117" x14ac:dyDescent="0.3">
      <c r="A1581" s="12"/>
      <c r="B1581" s="13"/>
      <c r="C1581" s="13"/>
      <c r="D1581" s="13"/>
      <c r="E1581" s="13"/>
      <c r="F1581" s="13"/>
      <c r="G1581" s="14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5">
        <v>0.25</v>
      </c>
      <c r="CM1581" s="15">
        <v>0.12862199999999999</v>
      </c>
      <c r="CN1581" s="15">
        <v>0.12862199999999999</v>
      </c>
      <c r="CO1581" s="15">
        <v>0.14699599999999999</v>
      </c>
      <c r="CP1581" s="15">
        <v>0.14699599999999999</v>
      </c>
      <c r="CQ1581" s="15">
        <v>0.14699599999999999</v>
      </c>
      <c r="CR1581" s="15">
        <v>5.1768000000000002E-2</v>
      </c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6">
        <f>SUM(H1581:DL1581)</f>
        <v>1</v>
      </c>
    </row>
    <row r="1582" spans="1:117" x14ac:dyDescent="0.3">
      <c r="A1582" s="17" t="s">
        <v>1255</v>
      </c>
      <c r="B1582" s="13" t="s">
        <v>1256</v>
      </c>
      <c r="C1582" s="13" t="s">
        <v>126</v>
      </c>
      <c r="D1582" s="13">
        <v>0</v>
      </c>
      <c r="E1582" s="13">
        <f>38865.9279*B2</f>
        <v>38865.927900000002</v>
      </c>
      <c r="F1582" s="13">
        <f>D1582*E1582</f>
        <v>0</v>
      </c>
      <c r="G1582" s="14">
        <f>F1582/A1</f>
        <v>0</v>
      </c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8"/>
      <c r="CM1582" s="18"/>
      <c r="CN1582" s="18"/>
      <c r="CO1582" s="18"/>
      <c r="CP1582" s="18"/>
      <c r="CQ1582" s="18"/>
      <c r="CR1582" s="18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9"/>
    </row>
    <row r="1583" spans="1:117" x14ac:dyDescent="0.3">
      <c r="A1583" s="12"/>
      <c r="B1583" s="13"/>
      <c r="C1583" s="13"/>
      <c r="D1583" s="13"/>
      <c r="E1583" s="13"/>
      <c r="F1583" s="13"/>
      <c r="G1583" s="14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20">
        <f t="shared" ref="CL1583:CR1583" si="40">+$D1582*CL1581</f>
        <v>0</v>
      </c>
      <c r="CM1583" s="20">
        <f t="shared" si="40"/>
        <v>0</v>
      </c>
      <c r="CN1583" s="20">
        <f t="shared" si="40"/>
        <v>0</v>
      </c>
      <c r="CO1583" s="20">
        <f t="shared" si="40"/>
        <v>0</v>
      </c>
      <c r="CP1583" s="20">
        <f t="shared" si="40"/>
        <v>0</v>
      </c>
      <c r="CQ1583" s="20">
        <f t="shared" si="40"/>
        <v>0</v>
      </c>
      <c r="CR1583" s="20">
        <f t="shared" si="40"/>
        <v>0</v>
      </c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21">
        <f>SUM(H1583:DL1583)</f>
        <v>0</v>
      </c>
    </row>
    <row r="1584" spans="1:117" x14ac:dyDescent="0.3">
      <c r="A1584" s="12"/>
      <c r="B1584" s="13"/>
      <c r="C1584" s="13"/>
      <c r="D1584" s="13"/>
      <c r="E1584" s="13"/>
      <c r="F1584" s="13"/>
      <c r="G1584" s="14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5">
        <v>0.25</v>
      </c>
      <c r="CN1584" s="15">
        <v>0.25</v>
      </c>
      <c r="CO1584" s="15">
        <v>0.25</v>
      </c>
      <c r="CP1584" s="15">
        <v>0.25</v>
      </c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6">
        <f>SUM(H1584:DL1584)</f>
        <v>1</v>
      </c>
    </row>
    <row r="1585" spans="1:117" x14ac:dyDescent="0.3">
      <c r="A1585" s="17" t="s">
        <v>1257</v>
      </c>
      <c r="B1585" s="13" t="s">
        <v>1258</v>
      </c>
      <c r="C1585" s="13" t="s">
        <v>347</v>
      </c>
      <c r="D1585" s="13">
        <v>0</v>
      </c>
      <c r="E1585" s="13">
        <f>12684.8335*B2</f>
        <v>12684.833500000001</v>
      </c>
      <c r="F1585" s="13">
        <f>D1585*E1585</f>
        <v>0</v>
      </c>
      <c r="G1585" s="14">
        <f>F1585/A1</f>
        <v>0</v>
      </c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8"/>
      <c r="CN1585" s="18"/>
      <c r="CO1585" s="18"/>
      <c r="CP1585" s="18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9"/>
    </row>
    <row r="1586" spans="1:117" x14ac:dyDescent="0.3">
      <c r="A1586" s="12"/>
      <c r="B1586" s="13"/>
      <c r="C1586" s="13"/>
      <c r="D1586" s="13"/>
      <c r="E1586" s="13"/>
      <c r="F1586" s="13"/>
      <c r="G1586" s="14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20">
        <f>+$D1585*CM1584</f>
        <v>0</v>
      </c>
      <c r="CN1586" s="20">
        <f>+$D1585*CN1584</f>
        <v>0</v>
      </c>
      <c r="CO1586" s="20">
        <f>+$D1585*CO1584</f>
        <v>0</v>
      </c>
      <c r="CP1586" s="20">
        <f>+$D1585*CP1584</f>
        <v>0</v>
      </c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21">
        <f>SUM(H1586:DL1586)</f>
        <v>0</v>
      </c>
    </row>
    <row r="1587" spans="1:117" x14ac:dyDescent="0.3">
      <c r="A1587" s="12"/>
      <c r="B1587" s="13"/>
      <c r="C1587" s="13"/>
      <c r="D1587" s="13"/>
      <c r="E1587" s="13"/>
      <c r="F1587" s="13"/>
      <c r="G1587" s="14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5">
        <v>0.25</v>
      </c>
      <c r="CN1587" s="15">
        <v>0.25</v>
      </c>
      <c r="CO1587" s="15">
        <v>0.25</v>
      </c>
      <c r="CP1587" s="15">
        <v>0.25</v>
      </c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6">
        <f>SUM(H1587:DL1587)</f>
        <v>1</v>
      </c>
    </row>
    <row r="1588" spans="1:117" x14ac:dyDescent="0.3">
      <c r="A1588" s="17" t="s">
        <v>1259</v>
      </c>
      <c r="B1588" s="13" t="s">
        <v>1260</v>
      </c>
      <c r="C1588" s="13" t="s">
        <v>347</v>
      </c>
      <c r="D1588" s="13">
        <v>0</v>
      </c>
      <c r="E1588" s="13">
        <f>10887.0128*B2</f>
        <v>10887.0128</v>
      </c>
      <c r="F1588" s="13">
        <f>D1588*E1588</f>
        <v>0</v>
      </c>
      <c r="G1588" s="14">
        <f>F1588/A1</f>
        <v>0</v>
      </c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8"/>
      <c r="CN1588" s="18"/>
      <c r="CO1588" s="18"/>
      <c r="CP1588" s="18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9"/>
    </row>
    <row r="1589" spans="1:117" x14ac:dyDescent="0.3">
      <c r="A1589" s="12"/>
      <c r="B1589" s="13"/>
      <c r="C1589" s="13"/>
      <c r="D1589" s="13"/>
      <c r="E1589" s="13"/>
      <c r="F1589" s="13"/>
      <c r="G1589" s="14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20">
        <f>+$D1588*CM1587</f>
        <v>0</v>
      </c>
      <c r="CN1589" s="20">
        <f>+$D1588*CN1587</f>
        <v>0</v>
      </c>
      <c r="CO1589" s="20">
        <f>+$D1588*CO1587</f>
        <v>0</v>
      </c>
      <c r="CP1589" s="20">
        <f>+$D1588*CP1587</f>
        <v>0</v>
      </c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21">
        <f>SUM(H1589:DL1589)</f>
        <v>0</v>
      </c>
    </row>
    <row r="1590" spans="1:117" x14ac:dyDescent="0.3">
      <c r="A1590" s="12"/>
      <c r="B1590" s="13"/>
      <c r="C1590" s="13"/>
      <c r="D1590" s="13"/>
      <c r="E1590" s="13"/>
      <c r="F1590" s="13"/>
      <c r="G1590" s="14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5">
        <v>0.25</v>
      </c>
      <c r="CO1590" s="15">
        <v>0.25</v>
      </c>
      <c r="CP1590" s="15">
        <v>0.25</v>
      </c>
      <c r="CQ1590" s="15">
        <v>0.25</v>
      </c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6">
        <f>SUM(H1590:DL1590)</f>
        <v>1</v>
      </c>
    </row>
    <row r="1591" spans="1:117" x14ac:dyDescent="0.3">
      <c r="A1591" s="17" t="s">
        <v>1261</v>
      </c>
      <c r="B1591" s="13" t="s">
        <v>1262</v>
      </c>
      <c r="C1591" s="13" t="s">
        <v>274</v>
      </c>
      <c r="D1591" s="13">
        <v>0</v>
      </c>
      <c r="E1591" s="13">
        <f>16788.0358*B2</f>
        <v>16788.035800000001</v>
      </c>
      <c r="F1591" s="13">
        <f>D1591*E1591</f>
        <v>0</v>
      </c>
      <c r="G1591" s="14">
        <f>F1591/A1</f>
        <v>0</v>
      </c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8"/>
      <c r="CO1591" s="18"/>
      <c r="CP1591" s="18"/>
      <c r="CQ1591" s="18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9"/>
    </row>
    <row r="1592" spans="1:117" x14ac:dyDescent="0.3">
      <c r="A1592" s="12"/>
      <c r="B1592" s="13"/>
      <c r="C1592" s="13"/>
      <c r="D1592" s="13"/>
      <c r="E1592" s="13"/>
      <c r="F1592" s="13"/>
      <c r="G1592" s="14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20">
        <f>+$D1591*CN1590</f>
        <v>0</v>
      </c>
      <c r="CO1592" s="20">
        <f>+$D1591*CO1590</f>
        <v>0</v>
      </c>
      <c r="CP1592" s="20">
        <f>+$D1591*CP1590</f>
        <v>0</v>
      </c>
      <c r="CQ1592" s="20">
        <f>+$D1591*CQ1590</f>
        <v>0</v>
      </c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21">
        <f>SUM(H1592:DL1592)</f>
        <v>0</v>
      </c>
    </row>
    <row r="1593" spans="1:117" x14ac:dyDescent="0.3">
      <c r="A1593" s="12"/>
      <c r="B1593" s="13"/>
      <c r="C1593" s="13"/>
      <c r="D1593" s="13"/>
      <c r="E1593" s="13"/>
      <c r="F1593" s="13"/>
      <c r="G1593" s="14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5">
        <v>0.25</v>
      </c>
      <c r="CO1593" s="15">
        <v>0.12862199999999999</v>
      </c>
      <c r="CP1593" s="15">
        <v>0.12862199999999999</v>
      </c>
      <c r="CQ1593" s="15">
        <v>0.14699599999999999</v>
      </c>
      <c r="CR1593" s="15">
        <v>0.14699599999999999</v>
      </c>
      <c r="CS1593" s="15">
        <v>0.14699599999999999</v>
      </c>
      <c r="CT1593" s="15">
        <v>5.1768000000000002E-2</v>
      </c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6">
        <f>SUM(H1593:DL1593)</f>
        <v>1</v>
      </c>
    </row>
    <row r="1594" spans="1:117" x14ac:dyDescent="0.3">
      <c r="A1594" s="17" t="s">
        <v>1263</v>
      </c>
      <c r="B1594" s="13" t="s">
        <v>1264</v>
      </c>
      <c r="C1594" s="13" t="s">
        <v>126</v>
      </c>
      <c r="D1594" s="13">
        <v>0</v>
      </c>
      <c r="E1594" s="13">
        <f>7918.4518*B2</f>
        <v>7918.4517999999998</v>
      </c>
      <c r="F1594" s="13">
        <f>D1594*E1594</f>
        <v>0</v>
      </c>
      <c r="G1594" s="14">
        <f>F1594/A1</f>
        <v>0</v>
      </c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8"/>
      <c r="CO1594" s="18"/>
      <c r="CP1594" s="18"/>
      <c r="CQ1594" s="18"/>
      <c r="CR1594" s="18"/>
      <c r="CS1594" s="18"/>
      <c r="CT1594" s="18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9"/>
    </row>
    <row r="1595" spans="1:117" x14ac:dyDescent="0.3">
      <c r="A1595" s="12"/>
      <c r="B1595" s="13"/>
      <c r="C1595" s="13"/>
      <c r="D1595" s="13"/>
      <c r="E1595" s="13"/>
      <c r="F1595" s="13"/>
      <c r="G1595" s="14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20">
        <f t="shared" ref="CN1595:CT1595" si="41">+$D1594*CN1593</f>
        <v>0</v>
      </c>
      <c r="CO1595" s="20">
        <f t="shared" si="41"/>
        <v>0</v>
      </c>
      <c r="CP1595" s="20">
        <f t="shared" si="41"/>
        <v>0</v>
      </c>
      <c r="CQ1595" s="20">
        <f t="shared" si="41"/>
        <v>0</v>
      </c>
      <c r="CR1595" s="20">
        <f t="shared" si="41"/>
        <v>0</v>
      </c>
      <c r="CS1595" s="20">
        <f t="shared" si="41"/>
        <v>0</v>
      </c>
      <c r="CT1595" s="20">
        <f t="shared" si="41"/>
        <v>0</v>
      </c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21">
        <f>SUM(H1595:DL1595)</f>
        <v>0</v>
      </c>
    </row>
    <row r="1596" spans="1:117" x14ac:dyDescent="0.3">
      <c r="A1596" s="12"/>
      <c r="B1596" s="13"/>
      <c r="C1596" s="13"/>
      <c r="D1596" s="13"/>
      <c r="E1596" s="13"/>
      <c r="F1596" s="13"/>
      <c r="G1596" s="14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5">
        <v>0.23424500000000001</v>
      </c>
      <c r="CL1596" s="15">
        <v>0.242012</v>
      </c>
      <c r="CM1596" s="15">
        <v>0.243614</v>
      </c>
      <c r="CN1596" s="15">
        <v>0.28012900000000002</v>
      </c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6">
        <f>SUM(H1596:DL1596)</f>
        <v>1</v>
      </c>
    </row>
    <row r="1597" spans="1:117" x14ac:dyDescent="0.3">
      <c r="A1597" s="17" t="s">
        <v>1265</v>
      </c>
      <c r="B1597" s="13" t="s">
        <v>1266</v>
      </c>
      <c r="C1597" s="13" t="s">
        <v>347</v>
      </c>
      <c r="D1597" s="13">
        <v>0</v>
      </c>
      <c r="E1597" s="13">
        <f>15329.7616*B2</f>
        <v>15329.7616</v>
      </c>
      <c r="F1597" s="13">
        <f>D1597*E1597</f>
        <v>0</v>
      </c>
      <c r="G1597" s="14">
        <f>F1597/A1</f>
        <v>0</v>
      </c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8"/>
      <c r="CL1597" s="18"/>
      <c r="CM1597" s="18"/>
      <c r="CN1597" s="18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9"/>
    </row>
    <row r="1598" spans="1:117" x14ac:dyDescent="0.3">
      <c r="A1598" s="12"/>
      <c r="B1598" s="13"/>
      <c r="C1598" s="13"/>
      <c r="D1598" s="13"/>
      <c r="E1598" s="13"/>
      <c r="F1598" s="13"/>
      <c r="G1598" s="14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20">
        <f>+$D1597*CK1596</f>
        <v>0</v>
      </c>
      <c r="CL1598" s="20">
        <f>+$D1597*CL1596</f>
        <v>0</v>
      </c>
      <c r="CM1598" s="20">
        <f>+$D1597*CM1596</f>
        <v>0</v>
      </c>
      <c r="CN1598" s="20">
        <f>+$D1597*CN1596</f>
        <v>0</v>
      </c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21">
        <f>SUM(H1598:DL1598)</f>
        <v>0</v>
      </c>
    </row>
    <row r="1599" spans="1:117" x14ac:dyDescent="0.3">
      <c r="A1599" s="12"/>
      <c r="B1599" s="13"/>
      <c r="C1599" s="13"/>
      <c r="D1599" s="13"/>
      <c r="E1599" s="13"/>
      <c r="F1599" s="13"/>
      <c r="G1599" s="14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5">
        <v>0.229681</v>
      </c>
      <c r="CL1599" s="15">
        <v>0.23729800000000001</v>
      </c>
      <c r="CM1599" s="15">
        <v>0.238869</v>
      </c>
      <c r="CN1599" s="15">
        <v>0.29415200000000002</v>
      </c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6">
        <f>SUM(H1599:DL1599)</f>
        <v>1</v>
      </c>
    </row>
    <row r="1600" spans="1:117" x14ac:dyDescent="0.3">
      <c r="A1600" s="17" t="s">
        <v>1267</v>
      </c>
      <c r="B1600" s="13" t="s">
        <v>1268</v>
      </c>
      <c r="C1600" s="13" t="s">
        <v>126</v>
      </c>
      <c r="D1600" s="13">
        <v>0</v>
      </c>
      <c r="E1600" s="13">
        <f>38865.9279*B2</f>
        <v>38865.927900000002</v>
      </c>
      <c r="F1600" s="13">
        <f>D1600*E1600</f>
        <v>0</v>
      </c>
      <c r="G1600" s="14">
        <f>F1600/A1</f>
        <v>0</v>
      </c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8"/>
      <c r="CL1600" s="18"/>
      <c r="CM1600" s="18"/>
      <c r="CN1600" s="18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9"/>
    </row>
    <row r="1601" spans="1:117" x14ac:dyDescent="0.3">
      <c r="A1601" s="12"/>
      <c r="B1601" s="13"/>
      <c r="C1601" s="13"/>
      <c r="D1601" s="13"/>
      <c r="E1601" s="13"/>
      <c r="F1601" s="13"/>
      <c r="G1601" s="14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20">
        <f>+$D1600*CK1599</f>
        <v>0</v>
      </c>
      <c r="CL1601" s="20">
        <f>+$D1600*CL1599</f>
        <v>0</v>
      </c>
      <c r="CM1601" s="20">
        <f>+$D1600*CM1599</f>
        <v>0</v>
      </c>
      <c r="CN1601" s="20">
        <f>+$D1600*CN1599</f>
        <v>0</v>
      </c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21">
        <f>SUM(H1601:DL1601)</f>
        <v>0</v>
      </c>
    </row>
    <row r="1602" spans="1:117" x14ac:dyDescent="0.3">
      <c r="A1602" s="8" t="s">
        <v>1269</v>
      </c>
      <c r="B1602" s="9" t="s">
        <v>1270</v>
      </c>
      <c r="C1602" s="9"/>
      <c r="D1602" s="9"/>
      <c r="E1602" s="9"/>
      <c r="F1602" s="9"/>
      <c r="G1602" s="10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  <c r="DC1602" s="9"/>
      <c r="DD1602" s="9"/>
      <c r="DE1602" s="9"/>
      <c r="DF1602" s="9"/>
      <c r="DG1602" s="9"/>
      <c r="DH1602" s="9"/>
      <c r="DI1602" s="9"/>
      <c r="DJ1602" s="9"/>
      <c r="DK1602" s="9"/>
      <c r="DL1602" s="9"/>
      <c r="DM1602" s="11"/>
    </row>
    <row r="1603" spans="1:117" x14ac:dyDescent="0.3">
      <c r="A1603" s="12"/>
      <c r="B1603" s="13"/>
      <c r="C1603" s="13"/>
      <c r="D1603" s="13"/>
      <c r="E1603" s="13"/>
      <c r="F1603" s="13"/>
      <c r="G1603" s="14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5">
        <v>0.73197500000000004</v>
      </c>
      <c r="BH1603" s="15">
        <v>0.109718</v>
      </c>
      <c r="BI1603" s="15">
        <v>0.158307</v>
      </c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6">
        <f>SUM(H1603:DL1603)</f>
        <v>1</v>
      </c>
    </row>
    <row r="1604" spans="1:117" x14ac:dyDescent="0.3">
      <c r="A1604" s="17" t="s">
        <v>1271</v>
      </c>
      <c r="B1604" s="13" t="s">
        <v>1272</v>
      </c>
      <c r="C1604" s="13" t="s">
        <v>126</v>
      </c>
      <c r="D1604" s="13">
        <v>0</v>
      </c>
      <c r="E1604" s="13">
        <f>11770.7214*B2</f>
        <v>11770.7214</v>
      </c>
      <c r="F1604" s="13">
        <f>D1604*E1604</f>
        <v>0</v>
      </c>
      <c r="G1604" s="14">
        <f>F1604/A1</f>
        <v>0</v>
      </c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8"/>
      <c r="BH1604" s="18"/>
      <c r="BI1604" s="18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9"/>
    </row>
    <row r="1605" spans="1:117" x14ac:dyDescent="0.3">
      <c r="A1605" s="12"/>
      <c r="B1605" s="13"/>
      <c r="C1605" s="13"/>
      <c r="D1605" s="13"/>
      <c r="E1605" s="13"/>
      <c r="F1605" s="13"/>
      <c r="G1605" s="14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20">
        <f>+$D1604*BG1603</f>
        <v>0</v>
      </c>
      <c r="BH1605" s="20">
        <f>+$D1604*BH1603</f>
        <v>0</v>
      </c>
      <c r="BI1605" s="20">
        <f>+$D1604*BI1603</f>
        <v>0</v>
      </c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21">
        <f>SUM(H1605:DL1605)</f>
        <v>0</v>
      </c>
    </row>
    <row r="1606" spans="1:117" x14ac:dyDescent="0.3">
      <c r="A1606" s="12"/>
      <c r="B1606" s="13"/>
      <c r="C1606" s="13"/>
      <c r="D1606" s="13"/>
      <c r="E1606" s="13"/>
      <c r="F1606" s="13"/>
      <c r="G1606" s="14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5">
        <v>0.73197500000000004</v>
      </c>
      <c r="BH1606" s="15">
        <v>0.109718</v>
      </c>
      <c r="BI1606" s="15">
        <v>0.158307</v>
      </c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6">
        <f>SUM(H1606:DL1606)</f>
        <v>1</v>
      </c>
    </row>
    <row r="1607" spans="1:117" x14ac:dyDescent="0.3">
      <c r="A1607" s="17" t="s">
        <v>1273</v>
      </c>
      <c r="B1607" s="13" t="s">
        <v>1274</v>
      </c>
      <c r="C1607" s="13" t="s">
        <v>347</v>
      </c>
      <c r="D1607" s="13">
        <v>0</v>
      </c>
      <c r="E1607" s="13">
        <f>14674.6228*B2</f>
        <v>14674.622799999999</v>
      </c>
      <c r="F1607" s="13">
        <f>D1607*E1607</f>
        <v>0</v>
      </c>
      <c r="G1607" s="14">
        <f>F1607/A1</f>
        <v>0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8"/>
      <c r="BH1607" s="18"/>
      <c r="BI1607" s="18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9"/>
    </row>
    <row r="1608" spans="1:117" x14ac:dyDescent="0.3">
      <c r="A1608" s="12"/>
      <c r="B1608" s="13"/>
      <c r="C1608" s="13"/>
      <c r="D1608" s="13"/>
      <c r="E1608" s="13"/>
      <c r="F1608" s="13"/>
      <c r="G1608" s="14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20">
        <f>+$D1607*BG1606</f>
        <v>0</v>
      </c>
      <c r="BH1608" s="20">
        <f>+$D1607*BH1606</f>
        <v>0</v>
      </c>
      <c r="BI1608" s="20">
        <f>+$D1607*BI1606</f>
        <v>0</v>
      </c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21">
        <f>SUM(H1608:DL1608)</f>
        <v>0</v>
      </c>
    </row>
    <row r="1609" spans="1:117" x14ac:dyDescent="0.3">
      <c r="A1609" s="12"/>
      <c r="B1609" s="13"/>
      <c r="C1609" s="13"/>
      <c r="D1609" s="13"/>
      <c r="E1609" s="13"/>
      <c r="F1609" s="13"/>
      <c r="G1609" s="14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5">
        <v>0.496865</v>
      </c>
      <c r="BI1609" s="15">
        <v>0.31347999999999998</v>
      </c>
      <c r="BJ1609" s="15">
        <v>0.18965499999999999</v>
      </c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6">
        <f>SUM(H1609:DL1609)</f>
        <v>1</v>
      </c>
    </row>
    <row r="1610" spans="1:117" x14ac:dyDescent="0.3">
      <c r="A1610" s="17" t="s">
        <v>1275</v>
      </c>
      <c r="B1610" s="13" t="s">
        <v>1276</v>
      </c>
      <c r="C1610" s="13" t="s">
        <v>347</v>
      </c>
      <c r="D1610" s="13">
        <v>0</v>
      </c>
      <c r="E1610" s="13">
        <f>86310.8067*B2</f>
        <v>86310.806700000001</v>
      </c>
      <c r="F1610" s="13">
        <f>D1610*E1610</f>
        <v>0</v>
      </c>
      <c r="G1610" s="14">
        <f>F1610/A1</f>
        <v>0</v>
      </c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8"/>
      <c r="BI1610" s="18"/>
      <c r="BJ1610" s="18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9"/>
    </row>
    <row r="1611" spans="1:117" x14ac:dyDescent="0.3">
      <c r="A1611" s="12"/>
      <c r="B1611" s="13"/>
      <c r="C1611" s="13"/>
      <c r="D1611" s="13"/>
      <c r="E1611" s="13"/>
      <c r="F1611" s="13"/>
      <c r="G1611" s="14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20">
        <f>+$D1610*BH1609</f>
        <v>0</v>
      </c>
      <c r="BI1611" s="20">
        <f>+$D1610*BI1609</f>
        <v>0</v>
      </c>
      <c r="BJ1611" s="20">
        <f>+$D1610*BJ1609</f>
        <v>0</v>
      </c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21">
        <f>SUM(H1611:DL1611)</f>
        <v>0</v>
      </c>
    </row>
    <row r="1612" spans="1:117" x14ac:dyDescent="0.3">
      <c r="A1612" s="12"/>
      <c r="B1612" s="13"/>
      <c r="C1612" s="13"/>
      <c r="D1612" s="13"/>
      <c r="E1612" s="13"/>
      <c r="F1612" s="13"/>
      <c r="G1612" s="14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5">
        <v>0.12069000000000001</v>
      </c>
      <c r="BI1612" s="15">
        <v>0.50156699999999999</v>
      </c>
      <c r="BJ1612" s="15">
        <v>0.377743</v>
      </c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6">
        <f>SUM(H1612:DL1612)</f>
        <v>1</v>
      </c>
    </row>
    <row r="1613" spans="1:117" x14ac:dyDescent="0.3">
      <c r="A1613" s="17" t="s">
        <v>1277</v>
      </c>
      <c r="B1613" s="13" t="s">
        <v>1278</v>
      </c>
      <c r="C1613" s="13" t="s">
        <v>126</v>
      </c>
      <c r="D1613" s="13">
        <v>0</v>
      </c>
      <c r="E1613" s="13">
        <f>95762.0756*B2</f>
        <v>95762.075599999996</v>
      </c>
      <c r="F1613" s="13">
        <f>D1613*E1613</f>
        <v>0</v>
      </c>
      <c r="G1613" s="14">
        <f>F1613/A1</f>
        <v>0</v>
      </c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8"/>
      <c r="BI1613" s="18"/>
      <c r="BJ1613" s="18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9"/>
    </row>
    <row r="1614" spans="1:117" x14ac:dyDescent="0.3">
      <c r="A1614" s="12"/>
      <c r="B1614" s="13"/>
      <c r="C1614" s="13"/>
      <c r="D1614" s="13"/>
      <c r="E1614" s="13"/>
      <c r="F1614" s="13"/>
      <c r="G1614" s="14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20">
        <f>+$D1613*BH1612</f>
        <v>0</v>
      </c>
      <c r="BI1614" s="20">
        <f>+$D1613*BI1612</f>
        <v>0</v>
      </c>
      <c r="BJ1614" s="20">
        <f>+$D1613*BJ1612</f>
        <v>0</v>
      </c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21">
        <f>SUM(H1614:DL1614)</f>
        <v>0</v>
      </c>
    </row>
    <row r="1615" spans="1:117" x14ac:dyDescent="0.3">
      <c r="A1615" s="12"/>
      <c r="B1615" s="13"/>
      <c r="C1615" s="13"/>
      <c r="D1615" s="13"/>
      <c r="E1615" s="13"/>
      <c r="F1615" s="13"/>
      <c r="G1615" s="14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5">
        <v>0.371473</v>
      </c>
      <c r="BJ1615" s="15">
        <v>0.62852699999999995</v>
      </c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6">
        <f>SUM(H1615:DL1615)</f>
        <v>1</v>
      </c>
    </row>
    <row r="1616" spans="1:117" x14ac:dyDescent="0.3">
      <c r="A1616" s="17" t="s">
        <v>1279</v>
      </c>
      <c r="B1616" s="13" t="s">
        <v>1280</v>
      </c>
      <c r="C1616" s="13" t="s">
        <v>347</v>
      </c>
      <c r="D1616" s="13">
        <v>0</v>
      </c>
      <c r="E1616" s="13">
        <f>14802.1831*B2</f>
        <v>14802.1831</v>
      </c>
      <c r="F1616" s="13">
        <f>D1616*E1616</f>
        <v>0</v>
      </c>
      <c r="G1616" s="14">
        <f>F1616/A1</f>
        <v>0</v>
      </c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8"/>
      <c r="BJ1616" s="18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9"/>
    </row>
    <row r="1617" spans="1:117" x14ac:dyDescent="0.3">
      <c r="A1617" s="12"/>
      <c r="B1617" s="13"/>
      <c r="C1617" s="13"/>
      <c r="D1617" s="13"/>
      <c r="E1617" s="13"/>
      <c r="F1617" s="13"/>
      <c r="G1617" s="14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20">
        <f>+$D1616*BI1615</f>
        <v>0</v>
      </c>
      <c r="BJ1617" s="20">
        <f>+$D1616*BJ1615</f>
        <v>0</v>
      </c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21">
        <f>SUM(H1617:DL1617)</f>
        <v>0</v>
      </c>
    </row>
    <row r="1618" spans="1:117" x14ac:dyDescent="0.3">
      <c r="A1618" s="12"/>
      <c r="B1618" s="13"/>
      <c r="C1618" s="13"/>
      <c r="D1618" s="13"/>
      <c r="E1618" s="13"/>
      <c r="F1618" s="13"/>
      <c r="G1618" s="14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5">
        <v>0.371473</v>
      </c>
      <c r="BJ1618" s="15">
        <v>0.62852699999999995</v>
      </c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6">
        <f>SUM(H1618:DL1618)</f>
        <v>1</v>
      </c>
    </row>
    <row r="1619" spans="1:117" x14ac:dyDescent="0.3">
      <c r="A1619" s="17" t="s">
        <v>1281</v>
      </c>
      <c r="B1619" s="13" t="s">
        <v>1282</v>
      </c>
      <c r="C1619" s="13" t="s">
        <v>126</v>
      </c>
      <c r="D1619" s="13">
        <v>0</v>
      </c>
      <c r="E1619" s="13">
        <f>7918.9544*B2</f>
        <v>7918.9543999999996</v>
      </c>
      <c r="F1619" s="13">
        <f>D1619*E1619</f>
        <v>0</v>
      </c>
      <c r="G1619" s="14">
        <f>F1619/A1</f>
        <v>0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8"/>
      <c r="BJ1619" s="18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9"/>
    </row>
    <row r="1620" spans="1:117" x14ac:dyDescent="0.3">
      <c r="A1620" s="12"/>
      <c r="B1620" s="13"/>
      <c r="C1620" s="13"/>
      <c r="D1620" s="13"/>
      <c r="E1620" s="13"/>
      <c r="F1620" s="13"/>
      <c r="G1620" s="14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20">
        <f>+$D1619*BI1618</f>
        <v>0</v>
      </c>
      <c r="BJ1620" s="20">
        <f>+$D1619*BJ1618</f>
        <v>0</v>
      </c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21">
        <f>SUM(H1620:DL1620)</f>
        <v>0</v>
      </c>
    </row>
    <row r="1621" spans="1:117" x14ac:dyDescent="0.3">
      <c r="A1621" s="12"/>
      <c r="B1621" s="13"/>
      <c r="C1621" s="13"/>
      <c r="D1621" s="13"/>
      <c r="E1621" s="13"/>
      <c r="F1621" s="13"/>
      <c r="G1621" s="14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5">
        <v>0.73197500000000004</v>
      </c>
      <c r="BH1621" s="15">
        <v>0.109718</v>
      </c>
      <c r="BI1621" s="13"/>
      <c r="BJ1621" s="15">
        <v>0.158307</v>
      </c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6">
        <f>SUM(H1621:DL1621)</f>
        <v>1</v>
      </c>
    </row>
    <row r="1622" spans="1:117" x14ac:dyDescent="0.3">
      <c r="A1622" s="17" t="s">
        <v>1283</v>
      </c>
      <c r="B1622" s="13" t="s">
        <v>1284</v>
      </c>
      <c r="C1622" s="13" t="s">
        <v>347</v>
      </c>
      <c r="D1622" s="13">
        <v>0</v>
      </c>
      <c r="E1622" s="13">
        <f>17609.5139*B2</f>
        <v>17609.513900000002</v>
      </c>
      <c r="F1622" s="13">
        <f>D1622*E1622</f>
        <v>0</v>
      </c>
      <c r="G1622" s="14">
        <f>F1622/A1</f>
        <v>0</v>
      </c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8"/>
      <c r="BH1622" s="18"/>
      <c r="BI1622" s="13"/>
      <c r="BJ1622" s="18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9"/>
    </row>
    <row r="1623" spans="1:117" x14ac:dyDescent="0.3">
      <c r="A1623" s="12"/>
      <c r="B1623" s="13"/>
      <c r="C1623" s="13"/>
      <c r="D1623" s="13"/>
      <c r="E1623" s="13"/>
      <c r="F1623" s="13"/>
      <c r="G1623" s="14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20">
        <f>+$D1622*BG1621</f>
        <v>0</v>
      </c>
      <c r="BH1623" s="20">
        <f>+$D1622*BH1621</f>
        <v>0</v>
      </c>
      <c r="BI1623" s="13"/>
      <c r="BJ1623" s="20">
        <f>+$D1622*BJ1621</f>
        <v>0</v>
      </c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21">
        <f>SUM(H1623:DL1623)</f>
        <v>0</v>
      </c>
    </row>
    <row r="1624" spans="1:117" x14ac:dyDescent="0.3">
      <c r="A1624" s="12"/>
      <c r="B1624" s="13"/>
      <c r="C1624" s="13"/>
      <c r="D1624" s="13"/>
      <c r="E1624" s="13"/>
      <c r="F1624" s="13"/>
      <c r="G1624" s="14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5">
        <v>0.24608099999999999</v>
      </c>
      <c r="BH1624" s="15">
        <v>0.329154</v>
      </c>
      <c r="BI1624" s="15">
        <v>0.424765</v>
      </c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6">
        <f>SUM(H1624:DL1624)</f>
        <v>1</v>
      </c>
    </row>
    <row r="1625" spans="1:117" x14ac:dyDescent="0.3">
      <c r="A1625" s="17" t="s">
        <v>1285</v>
      </c>
      <c r="B1625" s="13" t="s">
        <v>1286</v>
      </c>
      <c r="C1625" s="13" t="s">
        <v>126</v>
      </c>
      <c r="D1625" s="13">
        <v>0</v>
      </c>
      <c r="E1625" s="13">
        <f>95762.0756*B2</f>
        <v>95762.075599999996</v>
      </c>
      <c r="F1625" s="13">
        <f>D1625*E1625</f>
        <v>0</v>
      </c>
      <c r="G1625" s="14">
        <f>F1625/A1</f>
        <v>0</v>
      </c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8"/>
      <c r="BH1625" s="18"/>
      <c r="BI1625" s="18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9"/>
    </row>
    <row r="1626" spans="1:117" x14ac:dyDescent="0.3">
      <c r="A1626" s="12"/>
      <c r="B1626" s="13"/>
      <c r="C1626" s="13"/>
      <c r="D1626" s="13"/>
      <c r="E1626" s="13"/>
      <c r="F1626" s="13"/>
      <c r="G1626" s="14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20">
        <f>+$D1625*BG1624</f>
        <v>0</v>
      </c>
      <c r="BH1626" s="20">
        <f>+$D1625*BH1624</f>
        <v>0</v>
      </c>
      <c r="BI1626" s="20">
        <f>+$D1625*BI1624</f>
        <v>0</v>
      </c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21">
        <f>SUM(H1626:DL1626)</f>
        <v>0</v>
      </c>
    </row>
    <row r="1627" spans="1:117" x14ac:dyDescent="0.3">
      <c r="A1627" s="12"/>
      <c r="B1627" s="13"/>
      <c r="C1627" s="13"/>
      <c r="D1627" s="13"/>
      <c r="E1627" s="13"/>
      <c r="F1627" s="13"/>
      <c r="G1627" s="14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5">
        <v>1</v>
      </c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6">
        <f>SUM(H1627:DL1627)</f>
        <v>1</v>
      </c>
    </row>
    <row r="1628" spans="1:117" x14ac:dyDescent="0.3">
      <c r="A1628" s="17" t="s">
        <v>1287</v>
      </c>
      <c r="B1628" s="13" t="s">
        <v>1288</v>
      </c>
      <c r="C1628" s="13" t="s">
        <v>347</v>
      </c>
      <c r="D1628" s="13">
        <v>0</v>
      </c>
      <c r="E1628" s="13">
        <f>9799.0234*B2</f>
        <v>9799.0234</v>
      </c>
      <c r="F1628" s="13">
        <f>D1628*E1628</f>
        <v>0</v>
      </c>
      <c r="G1628" s="14">
        <f>F1628/A1</f>
        <v>0</v>
      </c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8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9"/>
    </row>
    <row r="1629" spans="1:117" x14ac:dyDescent="0.3">
      <c r="A1629" s="12"/>
      <c r="B1629" s="13"/>
      <c r="C1629" s="13"/>
      <c r="D1629" s="13"/>
      <c r="E1629" s="13"/>
      <c r="F1629" s="13"/>
      <c r="G1629" s="14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20">
        <f>+$D1628*BG1627</f>
        <v>0</v>
      </c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21">
        <f>SUM(H1629:DL1629)</f>
        <v>0</v>
      </c>
    </row>
    <row r="1630" spans="1:117" ht="15" thickBot="1" x14ac:dyDescent="0.35">
      <c r="A1630" s="8" t="s">
        <v>1289</v>
      </c>
      <c r="B1630" s="9" t="s">
        <v>1290</v>
      </c>
      <c r="C1630" s="9"/>
      <c r="D1630" s="9"/>
      <c r="E1630" s="9"/>
      <c r="F1630" s="9"/>
      <c r="G1630" s="10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  <c r="DC1630" s="9"/>
      <c r="DD1630" s="9"/>
      <c r="DE1630" s="9"/>
      <c r="DF1630" s="9"/>
      <c r="DG1630" s="9"/>
      <c r="DH1630" s="9"/>
      <c r="DI1630" s="9"/>
      <c r="DJ1630" s="9"/>
      <c r="DK1630" s="9"/>
      <c r="DL1630" s="9"/>
      <c r="DM1630" s="11"/>
    </row>
    <row r="1631" spans="1:117" ht="15" thickBot="1" x14ac:dyDescent="0.35">
      <c r="A1631" s="22"/>
      <c r="B1631" s="23"/>
      <c r="C1631" s="23"/>
      <c r="D1631" s="23"/>
      <c r="E1631" s="23"/>
      <c r="F1631" s="24">
        <f>SUM(F9:F1630)</f>
        <v>77998844243.787918</v>
      </c>
      <c r="G1631" s="25">
        <f>SUM(G9:G1630)</f>
        <v>0.99999999999999856</v>
      </c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23"/>
      <c r="AD1631" s="23"/>
      <c r="AE1631" s="23"/>
      <c r="AF1631" s="23"/>
      <c r="AG1631" s="23"/>
      <c r="AH1631" s="23"/>
      <c r="AI1631" s="23"/>
      <c r="AJ1631" s="23"/>
      <c r="AK1631" s="23"/>
      <c r="AL1631" s="23"/>
      <c r="AM1631" s="23"/>
      <c r="AN1631" s="23"/>
      <c r="AO1631" s="23"/>
      <c r="AP1631" s="23"/>
      <c r="AQ1631" s="23"/>
      <c r="AR1631" s="23"/>
      <c r="AS1631" s="23"/>
      <c r="AT1631" s="23"/>
      <c r="AU1631" s="23"/>
      <c r="AV1631" s="23"/>
      <c r="AW1631" s="23"/>
      <c r="AX1631" s="23"/>
      <c r="AY1631" s="23"/>
      <c r="AZ1631" s="23"/>
      <c r="BA1631" s="23"/>
      <c r="BB1631" s="23"/>
      <c r="BC1631" s="23"/>
      <c r="BD1631" s="23"/>
      <c r="BE1631" s="23"/>
      <c r="BF1631" s="23"/>
      <c r="BG1631" s="23"/>
      <c r="BH1631" s="23"/>
      <c r="BI1631" s="23"/>
      <c r="BJ1631" s="23"/>
      <c r="BK1631" s="23"/>
      <c r="BL1631" s="23"/>
      <c r="BM1631" s="23"/>
      <c r="BN1631" s="23"/>
      <c r="BO1631" s="23"/>
      <c r="BP1631" s="23"/>
      <c r="BQ1631" s="23"/>
      <c r="BR1631" s="23"/>
      <c r="BS1631" s="23"/>
      <c r="BT1631" s="23"/>
      <c r="BU1631" s="23"/>
      <c r="BV1631" s="23"/>
      <c r="BW1631" s="23"/>
      <c r="BX1631" s="23"/>
      <c r="BY1631" s="23"/>
      <c r="BZ1631" s="23"/>
      <c r="CA1631" s="23"/>
      <c r="CB1631" s="23"/>
      <c r="CC1631" s="23"/>
      <c r="CD1631" s="23"/>
      <c r="CE1631" s="23"/>
      <c r="CF1631" s="23"/>
      <c r="CG1631" s="23"/>
      <c r="CH1631" s="23"/>
      <c r="CI1631" s="23"/>
      <c r="CJ1631" s="23"/>
      <c r="CK1631" s="23"/>
      <c r="CL1631" s="23"/>
      <c r="CM1631" s="23"/>
      <c r="CN1631" s="23"/>
      <c r="CO1631" s="23"/>
      <c r="CP1631" s="23"/>
      <c r="CQ1631" s="23"/>
      <c r="CR1631" s="23"/>
      <c r="CS1631" s="23"/>
      <c r="CT1631" s="23"/>
      <c r="CU1631" s="23"/>
      <c r="CV1631" s="23"/>
      <c r="CW1631" s="23"/>
      <c r="CX1631" s="23"/>
      <c r="CY1631" s="23"/>
      <c r="CZ1631" s="23"/>
      <c r="DA1631" s="23"/>
      <c r="DB1631" s="23"/>
      <c r="DC1631" s="23"/>
      <c r="DD1631" s="23"/>
      <c r="DE1631" s="23"/>
      <c r="DF1631" s="23"/>
      <c r="DG1631" s="23"/>
      <c r="DH1631" s="23"/>
      <c r="DI1631" s="23"/>
      <c r="DJ1631" s="23"/>
      <c r="DK1631" s="23"/>
      <c r="DL1631" s="23"/>
      <c r="DM1631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PT_cant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Perin, Alejandro Ruben</dc:creator>
  <cp:lastModifiedBy>Perin, Alejandro Ruben</cp:lastModifiedBy>
  <dcterms:created xsi:type="dcterms:W3CDTF">2026-08-13T12:50:26Z</dcterms:created>
  <dcterms:modified xsi:type="dcterms:W3CDTF">2026-08-13T12:51:45Z</dcterms:modified>
</cp:coreProperties>
</file>